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defaultThemeVersion="124226"/>
  <mc:AlternateContent xmlns:mc="http://schemas.openxmlformats.org/markup-compatibility/2006">
    <mc:Choice Requires="x15">
      <x15ac:absPath xmlns:x15ac="http://schemas.microsoft.com/office/spreadsheetml/2010/11/ac" url="C:\Users\ysophie\Desktop\UW Request\"/>
    </mc:Choice>
  </mc:AlternateContent>
  <xr:revisionPtr revIDLastSave="0" documentId="13_ncr:1_{64E619B7-2CEA-485C-8BB9-E559FACC2E0D}" xr6:coauthVersionLast="47" xr6:coauthVersionMax="47" xr10:uidLastSave="{00000000-0000-0000-0000-000000000000}"/>
  <bookViews>
    <workbookView xWindow="-120" yWindow="-120" windowWidth="29040" windowHeight="15720" tabRatio="790" firstSheet="1" activeTab="1" xr2:uid="{00000000-000D-0000-FFFF-FFFF00000000}"/>
  </bookViews>
  <sheets>
    <sheet name="OW" sheetId="4" state="hidden" r:id="rId1"/>
    <sheet name="Waterloo" sheetId="295" r:id="rId2"/>
  </sheets>
  <definedNames>
    <definedName name="_xlnm.Print_Area" localSheetId="0">OW!$A$1:$AK$98</definedName>
    <definedName name="_xlnm.Print_Titles" localSheetId="0">OW!$A:$A,OW!$1:$6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2" i="4" l="1"/>
  <c r="B21" i="4"/>
  <c r="C117" i="4" l="1"/>
  <c r="D117" i="4"/>
  <c r="E117" i="4"/>
  <c r="F117" i="4"/>
  <c r="G117" i="4"/>
  <c r="H117" i="4"/>
  <c r="I117" i="4"/>
  <c r="J117" i="4"/>
  <c r="K117" i="4"/>
  <c r="L117" i="4"/>
  <c r="M117" i="4"/>
  <c r="N117" i="4"/>
  <c r="O117" i="4"/>
  <c r="P117" i="4"/>
  <c r="Q117" i="4"/>
  <c r="R117" i="4"/>
  <c r="S117" i="4"/>
  <c r="T117" i="4"/>
  <c r="U117" i="4"/>
  <c r="V117" i="4"/>
  <c r="W117" i="4"/>
  <c r="X117" i="4"/>
  <c r="Y117" i="4"/>
  <c r="Z117" i="4"/>
  <c r="AA117" i="4"/>
  <c r="AB117" i="4"/>
  <c r="AC117" i="4"/>
  <c r="AD117" i="4"/>
  <c r="AE117" i="4"/>
  <c r="AF117" i="4"/>
  <c r="AG117" i="4"/>
  <c r="AH117" i="4"/>
  <c r="AI117" i="4"/>
  <c r="AJ117" i="4"/>
  <c r="B117" i="4"/>
  <c r="AB45" i="4" l="1"/>
  <c r="AA45" i="4"/>
  <c r="Z45" i="4"/>
  <c r="Y45" i="4"/>
  <c r="X45" i="4"/>
  <c r="W45" i="4"/>
  <c r="V45" i="4"/>
  <c r="U45" i="4"/>
  <c r="T45" i="4"/>
  <c r="S45" i="4"/>
  <c r="R45" i="4"/>
  <c r="Q45" i="4"/>
  <c r="P45" i="4"/>
  <c r="O45" i="4"/>
  <c r="N45" i="4"/>
  <c r="M45" i="4"/>
  <c r="L45" i="4"/>
  <c r="K45" i="4"/>
  <c r="J45" i="4"/>
  <c r="I45" i="4"/>
  <c r="H45" i="4"/>
  <c r="G45" i="4"/>
  <c r="F45" i="4"/>
  <c r="E45" i="4"/>
  <c r="D45" i="4"/>
  <c r="C45" i="4"/>
  <c r="B45" i="4"/>
  <c r="AB41" i="4" l="1"/>
  <c r="AA41" i="4"/>
  <c r="Z41" i="4"/>
  <c r="Y41" i="4"/>
  <c r="X41" i="4"/>
  <c r="W41" i="4"/>
  <c r="V41" i="4"/>
  <c r="U41" i="4"/>
  <c r="T41" i="4"/>
  <c r="S41" i="4"/>
  <c r="R41" i="4"/>
  <c r="Q41" i="4"/>
  <c r="P41" i="4"/>
  <c r="O41" i="4"/>
  <c r="N41" i="4"/>
  <c r="M41" i="4"/>
  <c r="L41" i="4"/>
  <c r="K41" i="4"/>
  <c r="J41" i="4"/>
  <c r="I41" i="4"/>
  <c r="H41" i="4"/>
  <c r="G41" i="4"/>
  <c r="F41" i="4"/>
  <c r="E41" i="4"/>
  <c r="D41" i="4"/>
  <c r="C41" i="4"/>
  <c r="B41" i="4"/>
  <c r="AB38" i="4"/>
  <c r="AA38" i="4"/>
  <c r="Z38" i="4"/>
  <c r="Y38" i="4"/>
  <c r="X38" i="4"/>
  <c r="W38" i="4"/>
  <c r="V38" i="4"/>
  <c r="U38" i="4"/>
  <c r="T38" i="4"/>
  <c r="S38" i="4"/>
  <c r="R38" i="4"/>
  <c r="Q38" i="4"/>
  <c r="P38" i="4"/>
  <c r="O38" i="4"/>
  <c r="N38" i="4"/>
  <c r="M38" i="4"/>
  <c r="L38" i="4"/>
  <c r="K38" i="4"/>
  <c r="J38" i="4"/>
  <c r="I38" i="4"/>
  <c r="H38" i="4"/>
  <c r="G38" i="4"/>
  <c r="F38" i="4"/>
  <c r="E38" i="4"/>
  <c r="D38" i="4"/>
  <c r="C38" i="4"/>
  <c r="B38" i="4"/>
  <c r="AD14" i="4" l="1"/>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H106" i="4" l="1"/>
  <c r="AH50" i="4" s="1"/>
  <c r="AF115" i="4"/>
  <c r="AF44" i="4" s="1"/>
  <c r="AF46" i="4" s="1"/>
  <c r="AE115" i="4"/>
  <c r="AE44" i="4" s="1"/>
  <c r="AE46" i="4" s="1"/>
  <c r="AD115" i="4"/>
  <c r="AD44" i="4" s="1"/>
  <c r="AD46" i="4" s="1"/>
  <c r="AC115" i="4"/>
  <c r="AC44" i="4" s="1"/>
  <c r="AC46" i="4" s="1"/>
  <c r="AB115" i="4"/>
  <c r="AB44" i="4" s="1"/>
  <c r="AB46" i="4" s="1"/>
  <c r="AA115" i="4"/>
  <c r="AA44" i="4" s="1"/>
  <c r="AA46" i="4" s="1"/>
  <c r="Z115" i="4"/>
  <c r="Z44" i="4" s="1"/>
  <c r="Z46" i="4" s="1"/>
  <c r="Y115" i="4"/>
  <c r="Y44" i="4" s="1"/>
  <c r="Y46" i="4" s="1"/>
  <c r="X115" i="4"/>
  <c r="X44" i="4" s="1"/>
  <c r="X46" i="4" s="1"/>
  <c r="W115" i="4"/>
  <c r="W44" i="4" s="1"/>
  <c r="W46" i="4" s="1"/>
  <c r="V115" i="4"/>
  <c r="V44" i="4" s="1"/>
  <c r="V46" i="4" s="1"/>
  <c r="U115" i="4"/>
  <c r="U44" i="4" s="1"/>
  <c r="U46" i="4" s="1"/>
  <c r="T115" i="4"/>
  <c r="T44" i="4" s="1"/>
  <c r="T46" i="4" s="1"/>
  <c r="S115" i="4"/>
  <c r="S44" i="4" s="1"/>
  <c r="S46" i="4" s="1"/>
  <c r="R115" i="4"/>
  <c r="R44" i="4" s="1"/>
  <c r="R46" i="4" s="1"/>
  <c r="Q115" i="4"/>
  <c r="Q44" i="4" s="1"/>
  <c r="Q46" i="4" s="1"/>
  <c r="P115" i="4"/>
  <c r="P44" i="4" s="1"/>
  <c r="P46" i="4" s="1"/>
  <c r="O115" i="4"/>
  <c r="O44" i="4" s="1"/>
  <c r="O46" i="4" s="1"/>
  <c r="N115" i="4"/>
  <c r="N44" i="4" s="1"/>
  <c r="N46" i="4" s="1"/>
  <c r="M115" i="4"/>
  <c r="M44" i="4" s="1"/>
  <c r="M46" i="4" s="1"/>
  <c r="L115" i="4"/>
  <c r="L44" i="4" s="1"/>
  <c r="L46" i="4" s="1"/>
  <c r="K115" i="4"/>
  <c r="K44" i="4" s="1"/>
  <c r="K46" i="4" s="1"/>
  <c r="J115" i="4"/>
  <c r="J44" i="4" s="1"/>
  <c r="J46" i="4" s="1"/>
  <c r="I115" i="4"/>
  <c r="I44" i="4" s="1"/>
  <c r="I46" i="4" s="1"/>
  <c r="H115" i="4"/>
  <c r="H44" i="4" s="1"/>
  <c r="H46" i="4" s="1"/>
  <c r="G115" i="4"/>
  <c r="G44" i="4" s="1"/>
  <c r="G46" i="4" s="1"/>
  <c r="F115" i="4"/>
  <c r="F44" i="4" s="1"/>
  <c r="F46" i="4" s="1"/>
  <c r="E115" i="4"/>
  <c r="E44" i="4" s="1"/>
  <c r="E46" i="4" s="1"/>
  <c r="D115" i="4"/>
  <c r="D44" i="4" s="1"/>
  <c r="D46" i="4" s="1"/>
  <c r="C115" i="4"/>
  <c r="C44" i="4" s="1"/>
  <c r="C46" i="4" s="1"/>
  <c r="B115" i="4"/>
  <c r="B44" i="4" s="1"/>
  <c r="B46" i="4" s="1"/>
  <c r="AF106" i="4"/>
  <c r="AF50" i="4" s="1"/>
  <c r="AE106" i="4"/>
  <c r="AE50" i="4" s="1"/>
  <c r="AD106" i="4"/>
  <c r="AD50" i="4" s="1"/>
  <c r="AC106" i="4"/>
  <c r="AC50" i="4" s="1"/>
  <c r="AB106" i="4"/>
  <c r="AB50" i="4" s="1"/>
  <c r="AA106" i="4"/>
  <c r="AA50" i="4" s="1"/>
  <c r="Z106" i="4"/>
  <c r="Z50" i="4" s="1"/>
  <c r="Y106" i="4"/>
  <c r="Y50" i="4" s="1"/>
  <c r="X106" i="4"/>
  <c r="X50" i="4" s="1"/>
  <c r="W106" i="4"/>
  <c r="W50" i="4" s="1"/>
  <c r="V106" i="4"/>
  <c r="V50" i="4" s="1"/>
  <c r="U106" i="4"/>
  <c r="U50" i="4" s="1"/>
  <c r="T106" i="4"/>
  <c r="T50" i="4" s="1"/>
  <c r="S106" i="4"/>
  <c r="S50" i="4" s="1"/>
  <c r="R106" i="4"/>
  <c r="R50" i="4" s="1"/>
  <c r="Q106" i="4"/>
  <c r="Q50" i="4" s="1"/>
  <c r="P106" i="4"/>
  <c r="P50" i="4" s="1"/>
  <c r="O106" i="4"/>
  <c r="O50" i="4" s="1"/>
  <c r="N106" i="4"/>
  <c r="N50" i="4" s="1"/>
  <c r="M106" i="4"/>
  <c r="M50" i="4" s="1"/>
  <c r="L106" i="4"/>
  <c r="L50" i="4" s="1"/>
  <c r="K106" i="4"/>
  <c r="K50" i="4" s="1"/>
  <c r="J106" i="4"/>
  <c r="J50" i="4" s="1"/>
  <c r="I106" i="4"/>
  <c r="I50" i="4" s="1"/>
  <c r="H106" i="4"/>
  <c r="H50" i="4" s="1"/>
  <c r="G106" i="4"/>
  <c r="G50" i="4" s="1"/>
  <c r="F106" i="4"/>
  <c r="F50" i="4" s="1"/>
  <c r="E106" i="4"/>
  <c r="E50" i="4" s="1"/>
  <c r="D106" i="4"/>
  <c r="D50" i="4" s="1"/>
  <c r="C106" i="4"/>
  <c r="C50" i="4" s="1"/>
  <c r="B106" i="4"/>
  <c r="B50" i="4" s="1"/>
  <c r="AK115" i="4"/>
  <c r="AK44" i="4" s="1"/>
  <c r="AK46" i="4" s="1"/>
  <c r="AJ115" i="4"/>
  <c r="AJ44" i="4" s="1"/>
  <c r="AJ46" i="4" s="1"/>
  <c r="AH115" i="4"/>
  <c r="AH44" i="4" s="1"/>
  <c r="AH46" i="4" s="1"/>
  <c r="AG115" i="4"/>
  <c r="AG44" i="4" s="1"/>
  <c r="AG46" i="4" s="1"/>
  <c r="AI115" i="4"/>
  <c r="AI44" i="4" s="1"/>
  <c r="AI46" i="4" s="1"/>
  <c r="AG106" i="4"/>
  <c r="AG50" i="4" s="1"/>
  <c r="AK106" i="4"/>
  <c r="AK50" i="4" s="1"/>
  <c r="AJ106" i="4"/>
  <c r="AJ50" i="4" s="1"/>
  <c r="AI106" i="4"/>
  <c r="AI50" i="4" s="1"/>
  <c r="AI53" i="4" s="1"/>
  <c r="AJ94" i="4"/>
  <c r="AI94" i="4"/>
  <c r="AH94" i="4"/>
  <c r="AG94" i="4"/>
  <c r="AF94" i="4"/>
  <c r="AE94" i="4"/>
  <c r="AD94" i="4"/>
  <c r="AC94" i="4"/>
  <c r="AB94" i="4"/>
  <c r="AA94" i="4"/>
  <c r="Z94" i="4"/>
  <c r="Y94" i="4"/>
  <c r="X94" i="4"/>
  <c r="W94" i="4"/>
  <c r="V94" i="4"/>
  <c r="U94" i="4"/>
  <c r="T94" i="4"/>
  <c r="S94" i="4"/>
  <c r="R94" i="4"/>
  <c r="Q94" i="4"/>
  <c r="P94" i="4"/>
  <c r="O94" i="4"/>
  <c r="N94" i="4"/>
  <c r="M94" i="4"/>
  <c r="L94" i="4"/>
  <c r="K94" i="4"/>
  <c r="J94" i="4"/>
  <c r="I94" i="4"/>
  <c r="H94" i="4"/>
  <c r="G94" i="4"/>
  <c r="F94" i="4"/>
  <c r="E94" i="4"/>
  <c r="D94" i="4"/>
  <c r="C94" i="4"/>
  <c r="B94" i="4"/>
  <c r="AB67" i="4"/>
  <c r="AA67" i="4"/>
  <c r="Z67" i="4"/>
  <c r="Y67" i="4"/>
  <c r="X67" i="4"/>
  <c r="W67" i="4"/>
  <c r="V67" i="4"/>
  <c r="U67" i="4"/>
  <c r="T67" i="4"/>
  <c r="S67" i="4"/>
  <c r="R67" i="4"/>
  <c r="Q67" i="4"/>
  <c r="P67" i="4"/>
  <c r="O67" i="4"/>
  <c r="N67" i="4"/>
  <c r="M67" i="4"/>
  <c r="L67" i="4"/>
  <c r="K67" i="4"/>
  <c r="J67" i="4"/>
  <c r="I67" i="4"/>
  <c r="H67" i="4"/>
  <c r="G67" i="4"/>
  <c r="F67" i="4"/>
  <c r="E67" i="4"/>
  <c r="D67" i="4"/>
  <c r="C67" i="4"/>
  <c r="B67" i="4"/>
  <c r="AB69" i="4"/>
  <c r="AA69" i="4"/>
  <c r="Z69" i="4"/>
  <c r="Y69" i="4"/>
  <c r="X69" i="4"/>
  <c r="W69" i="4"/>
  <c r="V69" i="4"/>
  <c r="U69" i="4"/>
  <c r="T69" i="4"/>
  <c r="S69" i="4"/>
  <c r="R69" i="4"/>
  <c r="Q69" i="4"/>
  <c r="P69" i="4"/>
  <c r="O69" i="4"/>
  <c r="N69" i="4"/>
  <c r="M69" i="4"/>
  <c r="L69" i="4"/>
  <c r="K69" i="4"/>
  <c r="J69" i="4"/>
  <c r="I69" i="4"/>
  <c r="H69" i="4"/>
  <c r="G69" i="4"/>
  <c r="F69" i="4"/>
  <c r="E69" i="4"/>
  <c r="D69" i="4"/>
  <c r="C69" i="4"/>
  <c r="B69" i="4"/>
  <c r="AB68" i="4"/>
  <c r="AA68" i="4"/>
  <c r="Z68" i="4"/>
  <c r="Y68" i="4"/>
  <c r="X68" i="4"/>
  <c r="W68" i="4"/>
  <c r="V68" i="4"/>
  <c r="U68" i="4"/>
  <c r="T68" i="4"/>
  <c r="S68" i="4"/>
  <c r="R68" i="4"/>
  <c r="Q68" i="4"/>
  <c r="P68" i="4"/>
  <c r="O68" i="4"/>
  <c r="N68" i="4"/>
  <c r="M68" i="4"/>
  <c r="L68" i="4"/>
  <c r="K68" i="4"/>
  <c r="J68" i="4"/>
  <c r="I68" i="4"/>
  <c r="H68" i="4"/>
  <c r="G68" i="4"/>
  <c r="F68" i="4"/>
  <c r="E68" i="4"/>
  <c r="D68" i="4"/>
  <c r="C68" i="4"/>
  <c r="B68" i="4"/>
  <c r="AD68" i="4"/>
  <c r="AH68" i="4"/>
  <c r="AC67" i="4"/>
  <c r="AG67" i="4"/>
  <c r="AK67" i="4"/>
  <c r="AE67" i="4"/>
  <c r="AF67" i="4"/>
  <c r="AI67" i="4"/>
  <c r="AJ67" i="4"/>
  <c r="AC68" i="4"/>
  <c r="AE68" i="4"/>
  <c r="AG68" i="4"/>
  <c r="AI68" i="4"/>
  <c r="AK68" i="4"/>
  <c r="AJ53" i="4" l="1"/>
  <c r="AK53" i="4"/>
  <c r="B53" i="4"/>
  <c r="D53" i="4"/>
  <c r="F53" i="4"/>
  <c r="H53" i="4"/>
  <c r="J53" i="4"/>
  <c r="L53" i="4"/>
  <c r="N53" i="4"/>
  <c r="P53" i="4"/>
  <c r="R53" i="4"/>
  <c r="T53" i="4"/>
  <c r="V53" i="4"/>
  <c r="X53" i="4"/>
  <c r="Z53" i="4"/>
  <c r="AB53" i="4"/>
  <c r="AD53" i="4"/>
  <c r="AF53" i="4"/>
  <c r="E53" i="4"/>
  <c r="I53" i="4"/>
  <c r="M53" i="4"/>
  <c r="Q53" i="4"/>
  <c r="U53" i="4"/>
  <c r="Y53" i="4"/>
  <c r="AC53" i="4"/>
  <c r="C53" i="4"/>
  <c r="G53" i="4"/>
  <c r="K53" i="4"/>
  <c r="O53" i="4"/>
  <c r="S53" i="4"/>
  <c r="W53" i="4"/>
  <c r="AA53" i="4"/>
  <c r="AE53" i="4"/>
  <c r="AG53" i="4"/>
  <c r="AH53" i="4"/>
  <c r="AJ68" i="4"/>
  <c r="AF68" i="4"/>
  <c r="AH67" i="4"/>
  <c r="AD67" i="4"/>
  <c r="C48" i="4" l="1"/>
  <c r="D48" i="4"/>
  <c r="E48" i="4"/>
  <c r="F48" i="4"/>
  <c r="G48" i="4"/>
  <c r="H48" i="4"/>
  <c r="I48" i="4"/>
  <c r="J48" i="4"/>
  <c r="K48" i="4"/>
  <c r="L48" i="4"/>
  <c r="M48" i="4"/>
  <c r="N48" i="4"/>
  <c r="O48" i="4"/>
  <c r="P48" i="4"/>
  <c r="Q48" i="4"/>
  <c r="R48" i="4"/>
  <c r="S48" i="4"/>
  <c r="T48" i="4"/>
  <c r="U48" i="4"/>
  <c r="V48" i="4"/>
  <c r="W48" i="4"/>
  <c r="X48" i="4"/>
  <c r="Y48" i="4"/>
  <c r="Z48" i="4"/>
  <c r="AA48" i="4"/>
  <c r="AB48" i="4"/>
  <c r="AC48" i="4"/>
  <c r="AD48" i="4"/>
  <c r="AE48" i="4"/>
  <c r="AF48" i="4"/>
  <c r="AG48" i="4"/>
  <c r="AH48" i="4"/>
  <c r="AI48" i="4"/>
  <c r="AJ48" i="4"/>
  <c r="AK48" i="4"/>
  <c r="B48" i="4"/>
  <c r="C52" i="4"/>
  <c r="D52" i="4"/>
  <c r="E52" i="4"/>
  <c r="F52" i="4"/>
  <c r="G52" i="4"/>
  <c r="H52" i="4"/>
  <c r="I52" i="4"/>
  <c r="J52" i="4"/>
  <c r="K52" i="4"/>
  <c r="L52" i="4"/>
  <c r="M52" i="4"/>
  <c r="N52" i="4"/>
  <c r="O52" i="4"/>
  <c r="P52" i="4"/>
  <c r="Q52" i="4"/>
  <c r="R52" i="4"/>
  <c r="S52" i="4"/>
  <c r="T52" i="4"/>
  <c r="U52" i="4"/>
  <c r="V52" i="4"/>
  <c r="W52" i="4"/>
  <c r="X52" i="4"/>
  <c r="Y52" i="4"/>
  <c r="Z52" i="4"/>
  <c r="AA52" i="4"/>
  <c r="AB52" i="4"/>
  <c r="AC52" i="4"/>
  <c r="AD52" i="4"/>
  <c r="AE52" i="4"/>
  <c r="AF52" i="4"/>
  <c r="AG52" i="4"/>
  <c r="AH52" i="4"/>
  <c r="AI52" i="4"/>
  <c r="AJ52" i="4"/>
  <c r="AK52" i="4"/>
  <c r="B52" i="4"/>
  <c r="C27" i="4"/>
  <c r="D27" i="4"/>
  <c r="E27" i="4"/>
  <c r="F27" i="4"/>
  <c r="G27" i="4"/>
  <c r="H27" i="4"/>
  <c r="I27" i="4"/>
  <c r="J27" i="4"/>
  <c r="K27" i="4"/>
  <c r="L27" i="4"/>
  <c r="M27" i="4"/>
  <c r="N27" i="4"/>
  <c r="O27" i="4"/>
  <c r="P27" i="4"/>
  <c r="Q27" i="4"/>
  <c r="R27" i="4"/>
  <c r="S27" i="4"/>
  <c r="T27" i="4"/>
  <c r="U27" i="4"/>
  <c r="V27" i="4"/>
  <c r="W27" i="4"/>
  <c r="X27" i="4"/>
  <c r="Y27" i="4"/>
  <c r="Z27" i="4"/>
  <c r="AA27" i="4"/>
  <c r="AB27" i="4"/>
  <c r="AC27" i="4"/>
  <c r="AD27" i="4"/>
  <c r="AE27" i="4"/>
  <c r="AG27" i="4"/>
  <c r="AH27" i="4"/>
  <c r="AI27" i="4"/>
  <c r="AJ27" i="4"/>
  <c r="AK27" i="4"/>
  <c r="B27" i="4"/>
  <c r="AK22" i="4"/>
  <c r="AJ22" i="4"/>
  <c r="AI22" i="4"/>
  <c r="AH22" i="4"/>
  <c r="AG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AK21" i="4"/>
  <c r="AJ21" i="4"/>
  <c r="AI21" i="4"/>
  <c r="AH21" i="4"/>
  <c r="AG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AC69" i="4" l="1"/>
  <c r="AC45" i="4"/>
  <c r="AK94" i="4" l="1"/>
  <c r="AE14" i="4" l="1"/>
  <c r="AF14" i="4"/>
  <c r="AC41" i="4" l="1"/>
  <c r="AK41" i="4"/>
  <c r="AJ41" i="4"/>
  <c r="AI41" i="4"/>
  <c r="AH41" i="4"/>
  <c r="AG41" i="4"/>
  <c r="AF41" i="4"/>
  <c r="AE41" i="4"/>
  <c r="AD41" i="4"/>
  <c r="AJ69" i="4" l="1"/>
  <c r="AD69" i="4"/>
  <c r="AK69" i="4"/>
  <c r="AE69" i="4"/>
  <c r="AH69" i="4"/>
  <c r="AG69" i="4"/>
  <c r="AF69" i="4"/>
  <c r="AI69" i="4"/>
  <c r="AK54" i="4" l="1"/>
  <c r="AK45" i="4"/>
  <c r="AK38" i="4"/>
  <c r="AJ38" i="4" l="1"/>
  <c r="AI38" i="4"/>
  <c r="AH38" i="4"/>
  <c r="AG38" i="4"/>
  <c r="AF38" i="4"/>
  <c r="AE38" i="4"/>
  <c r="AD38" i="4"/>
  <c r="AC38" i="4"/>
  <c r="AF45" i="4" l="1"/>
  <c r="AE45" i="4"/>
  <c r="AD45" i="4"/>
  <c r="AG54" i="4" l="1"/>
  <c r="AJ54" i="4"/>
  <c r="AI54" i="4"/>
  <c r="AH54" i="4"/>
  <c r="AJ45" i="4"/>
  <c r="AI45" i="4"/>
  <c r="AH45" i="4"/>
  <c r="AG45" i="4"/>
</calcChain>
</file>

<file path=xl/sharedStrings.xml><?xml version="1.0" encoding="utf-8"?>
<sst xmlns="http://schemas.openxmlformats.org/spreadsheetml/2006/main" count="347" uniqueCount="150">
  <si>
    <t>- Income reporting suspends</t>
  </si>
  <si>
    <t>Number of suspends after cut-off</t>
  </si>
  <si>
    <t xml:space="preserve">- Total Amount </t>
  </si>
  <si>
    <t>DBD Payments</t>
  </si>
  <si>
    <t>- Number of Payments</t>
  </si>
  <si>
    <t xml:space="preserve"> Daily Overnight Cheques</t>
  </si>
  <si>
    <t>Daily Real Time Cheques</t>
  </si>
  <si>
    <t>Overpayment/Underpayment</t>
  </si>
  <si>
    <t>Suspension</t>
  </si>
  <si>
    <t>Office Recalls and Returned Cheques</t>
  </si>
  <si>
    <t>- Total Amount of posted manual cheques</t>
  </si>
  <si>
    <t>- Number of posted manual cheques</t>
  </si>
  <si>
    <t xml:space="preserve">SHORT-TERM PERFORMANCE DATA MONITORING </t>
  </si>
  <si>
    <t>INDICATORS</t>
  </si>
  <si>
    <t>- Number of generated manual cheques</t>
  </si>
  <si>
    <t>- Total Amount of generated manual cheques</t>
  </si>
  <si>
    <t>Number of suspensions reversed by end of month</t>
  </si>
  <si>
    <t>- Information missing</t>
  </si>
  <si>
    <t>- Zero cheque amount</t>
  </si>
  <si>
    <t>Ontario Works</t>
  </si>
  <si>
    <t>Intake - Service Standard Reporting</t>
  </si>
  <si>
    <t>% applications processed within 4 days</t>
  </si>
  <si>
    <t xml:space="preserve">Number of applications withdrawn </t>
  </si>
  <si>
    <t>Number of applications received</t>
  </si>
  <si>
    <t xml:space="preserve">Number of applications (cases) processed </t>
  </si>
  <si>
    <t>Number of applications processed within 4 days</t>
  </si>
  <si>
    <t>Employment Assistance</t>
  </si>
  <si>
    <t>Active Participants</t>
  </si>
  <si>
    <t>Individuals with participation deferred</t>
  </si>
  <si>
    <t>OW Participants</t>
  </si>
  <si>
    <t>ODSP Participants</t>
  </si>
  <si>
    <t>Individuals with participation deferred by actively participating</t>
  </si>
  <si>
    <t>Individuals with participation deferred and not actively participating</t>
  </si>
  <si>
    <t>Participation Rate</t>
  </si>
  <si>
    <t>OW Participants on SA</t>
  </si>
  <si>
    <t>OW Participants not on SA</t>
  </si>
  <si>
    <t>Number of individuals with an over-due Participation Agreement (PA)</t>
  </si>
  <si>
    <t>Number of individuals with no Participation Agreement (PA)</t>
  </si>
  <si>
    <t>SA recipients with mandatory participation requirements</t>
  </si>
  <si>
    <t>OW recipients 18+</t>
  </si>
  <si>
    <t>Average time from screening to verification</t>
  </si>
  <si>
    <t>Average time from verification to grant</t>
  </si>
  <si>
    <t>Client Outcomes</t>
  </si>
  <si>
    <t>ODSP non-disabled spouses</t>
  </si>
  <si>
    <t>ODSP dependent adults</t>
  </si>
  <si>
    <t>n/a</t>
  </si>
  <si>
    <t>- Verification suspends</t>
  </si>
  <si>
    <t>Number of suspended cases reactivated by end of month</t>
  </si>
  <si>
    <t>% of caseload with earnings</t>
  </si>
  <si>
    <t>% of caseload exiting to employment</t>
  </si>
  <si>
    <t>% of suspensions reversed by end of month</t>
  </si>
  <si>
    <t>% of suspended cases reactivated by end of month</t>
  </si>
  <si>
    <t>Average number of business days from screening to grant</t>
  </si>
  <si>
    <t>Number of cases with earnings</t>
  </si>
  <si>
    <t>Average earnings per case</t>
  </si>
  <si>
    <t>Number of exits to employment</t>
  </si>
  <si>
    <t>Average number of consecutive months on assistance</t>
  </si>
  <si>
    <t>Number of cases with new overpayments</t>
  </si>
  <si>
    <t>% of cases with new overpayments</t>
  </si>
  <si>
    <t>Number of cases with new underpayments</t>
  </si>
  <si>
    <t>% of cases with new underpayments</t>
  </si>
  <si>
    <t>Average amount of new overpayment per case</t>
  </si>
  <si>
    <t>Average amount of new underpayment per case</t>
  </si>
  <si>
    <t>Number of payments issued and cancelled</t>
  </si>
  <si>
    <t>Total amount of payments issued and cancelled during the month</t>
  </si>
  <si>
    <t>As of March 2015</t>
  </si>
  <si>
    <t>Payments</t>
  </si>
  <si>
    <t>Returned cheques as a % of all cheques issued</t>
  </si>
  <si>
    <t>Number of returned cheques (payments with cheque as delivery method)</t>
  </si>
  <si>
    <t>- Number duplicate cheques</t>
  </si>
  <si>
    <t>- Duplicate cheques as a % of all cheques</t>
  </si>
  <si>
    <t>Total amount of new overpayment generated per month ($M)</t>
  </si>
  <si>
    <t>Total amount of new underpayment generated per month ($M)</t>
  </si>
  <si>
    <t>reversal - admin error (active cases)</t>
  </si>
  <si>
    <t>write-off - admin error correction (active cases)</t>
  </si>
  <si>
    <t>reversal - admin error (inactive cases)</t>
  </si>
  <si>
    <t>write-off - admin error correction (inactive cases)</t>
  </si>
  <si>
    <t>case close - write-off - admin error correction (inactive cases)</t>
  </si>
  <si>
    <t>case close - write-off - admin error correction (active cases)</t>
  </si>
  <si>
    <t>Total amount of new overpayment generated per month ($M) [adjusted*]</t>
  </si>
  <si>
    <t>Number of cases with new overpayments [adjusted*]</t>
  </si>
  <si>
    <t>Cheques</t>
  </si>
  <si>
    <t>Manual Cheques</t>
  </si>
  <si>
    <t>Average amount of new overpayment per case [adjusted*]</t>
  </si>
  <si>
    <t>Cases added to the caseload (compared to previous month)</t>
  </si>
  <si>
    <t>Cases removed from the caseload (compared to previous month)</t>
  </si>
  <si>
    <t>% of cases with new overpayments [adjusted*]</t>
  </si>
  <si>
    <t xml:space="preserve">* For November 2014 and subsequent months, excludes overpayments 'recovered' with the following reasons noted: </t>
  </si>
  <si>
    <t>* case close - write-off - admin error correction</t>
  </si>
  <si>
    <t xml:space="preserve">* reversal - admin error, </t>
  </si>
  <si>
    <t>* write-off - admin error correction</t>
  </si>
  <si>
    <t>OW caseload (excluding First Nations)</t>
  </si>
  <si>
    <t>% of suspensions that remain outstanding by end of month</t>
  </si>
  <si>
    <t>Waterloo CMSM</t>
  </si>
  <si>
    <t>-</t>
  </si>
  <si>
    <t>Average number of business days from screening to financial eligibility decision</t>
  </si>
  <si>
    <t>Online applications (cases) processed as % of all applications processed</t>
  </si>
  <si>
    <t>Number of applications (cases) processed within 4 business days</t>
  </si>
  <si>
    <t>% applications processed within 4 business days</t>
  </si>
  <si>
    <t xml:space="preserve">Number of applications (cases) withdrawn </t>
  </si>
  <si>
    <t>Number of applications (cases) pending by end-of-month - cumulative</t>
  </si>
  <si>
    <t xml:space="preserve">Notes: </t>
  </si>
  <si>
    <t>INDICATORS [1]</t>
  </si>
  <si>
    <t>All applications (cases) received</t>
  </si>
  <si>
    <t>Number of online applications (cases) received</t>
  </si>
  <si>
    <t>Number of applications (cases) received through other application methods</t>
  </si>
  <si>
    <t>Caseload</t>
  </si>
  <si>
    <t>Official Statistics</t>
  </si>
  <si>
    <t>Cases</t>
  </si>
  <si>
    <t>Beneficiaries</t>
  </si>
  <si>
    <t>Children</t>
  </si>
  <si>
    <t>Preliminary Statistics</t>
  </si>
  <si>
    <t>Temporary Care</t>
  </si>
  <si>
    <t>Ontario Works [1]</t>
  </si>
  <si>
    <t xml:space="preserve"> Assistance [1]</t>
  </si>
  <si>
    <t>Emergency Assistance</t>
  </si>
  <si>
    <t xml:space="preserve">Social Assistance Operations Performance Report </t>
  </si>
  <si>
    <t>By</t>
  </si>
  <si>
    <t>application</t>
  </si>
  <si>
    <t>method</t>
  </si>
  <si>
    <t>Number of applications (cases) received through other methods that were processed</t>
  </si>
  <si>
    <t>By outcome</t>
  </si>
  <si>
    <t>By processing</t>
  </si>
  <si>
    <t>time</t>
  </si>
  <si>
    <t>6a</t>
  </si>
  <si>
    <t>8b</t>
  </si>
  <si>
    <t>9b</t>
  </si>
  <si>
    <t>8a</t>
  </si>
  <si>
    <t>9a</t>
  </si>
  <si>
    <t>Number of applications (cases) found eligible</t>
  </si>
  <si>
    <t>Number of applications (cases) found ineligible</t>
  </si>
  <si>
    <t>6b</t>
  </si>
  <si>
    <t>Number of online applications (cases) processed [2]</t>
  </si>
  <si>
    <t>Ontario Works cases [3]</t>
  </si>
  <si>
    <t>[1] Caseloads from November 2014 to March 2016 have been restated to account for short-term operational challenges related to SAMS transition;</t>
  </si>
  <si>
    <t>[2] Includes applications submitted online by applicants or by caseworkers (on behalf of applicants)</t>
  </si>
  <si>
    <t xml:space="preserve">[4] Overpayments generated and recovered within the same month and with one of  the following recovery reasons noted: </t>
  </si>
  <si>
    <t>'-' - data is not available in this version of the report</t>
  </si>
  <si>
    <t>'n.a.  - not applicable</t>
  </si>
  <si>
    <t/>
  </si>
  <si>
    <t xml:space="preserve">Note: OPR statistics are based on an end-of-month snapshot. </t>
  </si>
  <si>
    <t xml:space="preserve">Caseload refers to cases that were eligible for OW income support for at least one day  within the reporting month, </t>
  </si>
  <si>
    <t>as well as cases that were eligible for Extended Health Benefit or Extended Employment Health Benefit and receiving a payment in the month.</t>
  </si>
  <si>
    <t>v5.2</t>
  </si>
  <si>
    <t xml:space="preserve">
[5] Trends in income reporting suspensions (esp. for the months of November and December 2024, and May 2025) reflect the impact of temporary measures put in place due to the Canada Post strike.</t>
  </si>
  <si>
    <t>[3] Excludes estimates of First Nations caseloads based on subsidy claims; for November 2014 and subsequent months:</t>
  </si>
  <si>
    <t>includes cases eligible for assistance based on data as of the end of the reporting month</t>
  </si>
  <si>
    <t>Cases added to/removed from the caseload (compared to previous month) not available for March 2026 due to transition to new reporting platform.</t>
  </si>
  <si>
    <t>Statistics shown are based on operational data as of the end of March 2026  and are subject to change.</t>
  </si>
  <si>
    <t>As of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</si>
</sst>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quot;$&quot;#,##0_);\(&quot;$&quot;#,##0\)"/>
    <numFmt numFmtId="165" formatCode="&quot;$&quot;#,##0_);[Red]\(&quot;$&quot;#,##0\)"/>
    <numFmt numFmtId="167" formatCode="&quot;$&quot;#,##0.00_);[Red]\(&quot;$&quot;#,##0.00\)"/>
    <numFmt numFmtId="168" formatCode="_(&quot;$&quot;* #,##0.00_);_(&quot;$&quot;* \(#,##0.00\);_(&quot;$&quot;* &quot;-&quot;??_);_(@_)"/>
    <numFmt numFmtId="169" formatCode="_(* #,##0.00_);_(* \(#,##0.00\);_(* &quot;-&quot;??_);_(@_)"/>
    <numFmt numFmtId="170" formatCode="0.0%"/>
    <numFmt numFmtId="171" formatCode="#,##0.0"/>
    <numFmt numFmtId="172" formatCode="&quot;$&quot;#,##0"/>
    <numFmt numFmtId="173" formatCode="[$$-1009]#,##0;\-[$$-1009]#,##0"/>
    <numFmt numFmtId="174" formatCode="??,??0"/>
    <numFmt numFmtId="175" formatCode="&quot;$&quot;?,??0"/>
    <numFmt numFmtId="176" formatCode="???,??0"/>
  </numFmts>
  <fonts count="22" x14ac:knownFonts="1">
    <font>
      <sz val="11"/>
      <color theme="1"/>
      <name val="Calibri"/>
      <family val="2"/>
      <scheme val="minor"/>
    </font>
    <font>
      <sz val="11"/>
      <name val="Calibri"/>
      <family val="2"/>
    </font>
    <font>
      <b/>
      <sz val="14"/>
      <color indexed="8"/>
      <name val="Calibri"/>
      <family val="2"/>
    </font>
    <font>
      <b/>
      <sz val="12"/>
      <color indexed="8"/>
      <name val="Calibri"/>
      <family val="2"/>
    </font>
    <font>
      <sz val="8"/>
      <name val="Calibri"/>
      <family val="2"/>
    </font>
    <font>
      <sz val="10"/>
      <color theme="1"/>
      <name val="Tahoma"/>
      <family val="2"/>
    </font>
    <font>
      <sz val="12"/>
      <color theme="1"/>
      <name val="Calibri"/>
      <family val="2"/>
      <scheme val="minor"/>
    </font>
    <font>
      <sz val="11"/>
      <color theme="1"/>
      <name val="Calibri"/>
      <family val="2"/>
      <scheme val="minor"/>
    </font>
    <font>
      <sz val="11"/>
      <name val="Calibri"/>
      <family val="2"/>
    </font>
    <font>
      <sz val="11"/>
      <name val="Calibri"/>
      <family val="2"/>
      <scheme val="minor"/>
    </font>
    <font>
      <i/>
      <sz val="11"/>
      <name val="Calibri"/>
      <family val="2"/>
    </font>
    <font>
      <b/>
      <i/>
      <sz val="14"/>
      <name val="Calibri"/>
      <family val="2"/>
    </font>
    <font>
      <b/>
      <sz val="12"/>
      <name val="Calibri"/>
      <family val="2"/>
    </font>
    <font>
      <sz val="11"/>
      <color theme="0" tint="-0.34998626667073579"/>
      <name val="Calibri"/>
      <family val="2"/>
      <scheme val="minor"/>
    </font>
    <font>
      <i/>
      <sz val="12"/>
      <name val="Calibri"/>
      <family val="2"/>
    </font>
    <font>
      <sz val="12"/>
      <name val="Calibri"/>
      <family val="2"/>
      <scheme val="minor"/>
    </font>
    <font>
      <sz val="12"/>
      <color theme="0" tint="-0.34998626667073579"/>
      <name val="Calibri"/>
      <family val="2"/>
      <scheme val="minor"/>
    </font>
    <font>
      <sz val="12"/>
      <color theme="0" tint="-0.499984740745262"/>
      <name val="Calibri"/>
      <family val="2"/>
      <scheme val="minor"/>
    </font>
    <font>
      <b/>
      <sz val="12"/>
      <color theme="0" tint="-0.34998626667073579"/>
      <name val="Calibri"/>
      <family val="2"/>
    </font>
    <font>
      <b/>
      <sz val="11"/>
      <color theme="1"/>
      <name val="Calibri"/>
      <family val="2"/>
      <scheme val="minor"/>
    </font>
    <font>
      <b/>
      <sz val="11"/>
      <name val="Calibri"/>
      <family val="2"/>
      <scheme val="minor"/>
    </font>
    <font>
      <i/>
      <sz val="11"/>
      <name val="Calibri"/>
      <family val="2"/>
      <scheme val="minor"/>
    </font>
  </fonts>
  <fills count="3">
    <fill>
      <patternFill patternType="none"/>
    </fill>
    <fill>
      <patternFill patternType="gray125"/>
    </fill>
    <fill>
      <patternFill patternType="solid">
        <fgColor theme="4" tint="0.79998168889431442"/>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thin">
        <color indexed="64"/>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double">
        <color indexed="64"/>
      </left>
      <right style="thin">
        <color indexed="64"/>
      </right>
      <top style="medium">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medium">
        <color indexed="64"/>
      </bottom>
      <diagonal/>
    </border>
    <border>
      <left style="double">
        <color indexed="64"/>
      </left>
      <right style="thin">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style="double">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style="thin">
        <color indexed="64"/>
      </left>
      <right style="double">
        <color indexed="64"/>
      </right>
      <top style="medium">
        <color indexed="64"/>
      </top>
      <bottom/>
      <diagonal/>
    </border>
    <border>
      <left style="thin">
        <color indexed="64"/>
      </left>
      <right style="double">
        <color indexed="64"/>
      </right>
      <top/>
      <bottom style="medium">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diagonal/>
    </border>
    <border>
      <left style="thin">
        <color indexed="64"/>
      </left>
      <right style="double">
        <color indexed="64"/>
      </right>
      <top style="thin">
        <color indexed="64"/>
      </top>
      <bottom style="medium">
        <color indexed="64"/>
      </bottom>
      <diagonal/>
    </border>
    <border>
      <left/>
      <right/>
      <top style="medium">
        <color indexed="64"/>
      </top>
      <bottom/>
      <diagonal/>
    </border>
    <border>
      <left/>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s>
  <cellStyleXfs count="6">
    <xf numFmtId="0" fontId="0" fillId="0" borderId="0"/>
    <xf numFmtId="0" fontId="5" fillId="0" borderId="0"/>
    <xf numFmtId="168" fontId="7" fillId="0" borderId="0" applyFont="0" applyFill="0" applyBorder="0" applyAlignment="0" applyProtection="0"/>
    <xf numFmtId="9" fontId="7" fillId="0" borderId="0" applyFont="0" applyFill="0" applyBorder="0" applyAlignment="0" applyProtection="0"/>
    <xf numFmtId="168" fontId="7" fillId="0" borderId="0" applyFont="0" applyFill="0" applyBorder="0" applyAlignment="0" applyProtection="0"/>
    <xf numFmtId="169" fontId="7" fillId="0" borderId="0" applyFont="0" applyFill="0" applyBorder="0" applyAlignment="0" applyProtection="0"/>
  </cellStyleXfs>
  <cellXfs count="271">
    <xf numFmtId="0" fontId="0" fillId="0" borderId="0" xfId="0"/>
    <xf numFmtId="0" fontId="2" fillId="0" borderId="0" xfId="0" applyFont="1"/>
    <xf numFmtId="0" fontId="0" fillId="0" borderId="0" xfId="0" applyAlignment="1">
      <alignment horizontal="center"/>
    </xf>
    <xf numFmtId="0" fontId="6" fillId="0" borderId="0" xfId="0" applyFont="1" applyAlignment="1">
      <alignment horizontal="center"/>
    </xf>
    <xf numFmtId="0" fontId="6" fillId="0" borderId="0" xfId="0" applyFont="1"/>
    <xf numFmtId="17" fontId="0" fillId="0" borderId="0" xfId="0" applyNumberFormat="1"/>
    <xf numFmtId="9" fontId="0" fillId="0" borderId="0" xfId="3" applyFont="1" applyFill="1"/>
    <xf numFmtId="0" fontId="9" fillId="0" borderId="6" xfId="0" quotePrefix="1" applyFont="1" applyBorder="1" applyAlignment="1">
      <alignment horizontal="left" vertical="top" wrapText="1" indent="1"/>
    </xf>
    <xf numFmtId="17" fontId="9" fillId="2" borderId="27" xfId="0" applyNumberFormat="1" applyFont="1" applyFill="1" applyBorder="1" applyAlignment="1">
      <alignment horizontal="center" vertical="top" wrapText="1"/>
    </xf>
    <xf numFmtId="17" fontId="9" fillId="2" borderId="29" xfId="0" applyNumberFormat="1" applyFont="1" applyFill="1" applyBorder="1" applyAlignment="1">
      <alignment horizontal="center" vertical="top" wrapText="1"/>
    </xf>
    <xf numFmtId="17" fontId="9" fillId="2" borderId="11" xfId="0" applyNumberFormat="1" applyFont="1" applyFill="1" applyBorder="1" applyAlignment="1">
      <alignment horizontal="center" vertical="top" wrapText="1"/>
    </xf>
    <xf numFmtId="0" fontId="9" fillId="0" borderId="6" xfId="0" quotePrefix="1" applyFont="1" applyBorder="1" applyAlignment="1">
      <alignment horizontal="left" vertical="top" wrapText="1" indent="2"/>
    </xf>
    <xf numFmtId="0" fontId="9" fillId="0" borderId="6" xfId="0" quotePrefix="1" applyFont="1" applyBorder="1" applyAlignment="1">
      <alignment horizontal="left" vertical="top" wrapText="1" indent="3"/>
    </xf>
    <xf numFmtId="0" fontId="8" fillId="0" borderId="8" xfId="0" quotePrefix="1" applyFont="1" applyBorder="1" applyAlignment="1">
      <alignment horizontal="left" vertical="top" wrapText="1" indent="1"/>
    </xf>
    <xf numFmtId="0" fontId="9" fillId="0" borderId="7" xfId="0" quotePrefix="1" applyFont="1" applyBorder="1" applyAlignment="1">
      <alignment horizontal="left" vertical="top" wrapText="1" indent="1"/>
    </xf>
    <xf numFmtId="0" fontId="9" fillId="0" borderId="10" xfId="0" quotePrefix="1" applyFont="1" applyBorder="1" applyAlignment="1">
      <alignment horizontal="left" vertical="top" wrapText="1" indent="1"/>
    </xf>
    <xf numFmtId="0" fontId="9" fillId="0" borderId="8" xfId="0" quotePrefix="1" applyFont="1" applyBorder="1" applyAlignment="1">
      <alignment horizontal="left" vertical="top" wrapText="1" indent="1"/>
    </xf>
    <xf numFmtId="0" fontId="9" fillId="0" borderId="9" xfId="0" quotePrefix="1" applyFont="1" applyBorder="1" applyAlignment="1">
      <alignment horizontal="left" vertical="top" wrapText="1" indent="1"/>
    </xf>
    <xf numFmtId="0" fontId="9" fillId="0" borderId="8" xfId="0" quotePrefix="1" applyFont="1" applyBorder="1" applyAlignment="1">
      <alignment horizontal="left" vertical="top" wrapText="1" indent="2"/>
    </xf>
    <xf numFmtId="0" fontId="10" fillId="0" borderId="6" xfId="0" quotePrefix="1" applyFont="1" applyBorder="1" applyAlignment="1">
      <alignment horizontal="left" vertical="top" wrapText="1" indent="1"/>
    </xf>
    <xf numFmtId="0" fontId="11" fillId="0" borderId="0" xfId="0" applyFont="1"/>
    <xf numFmtId="0" fontId="12" fillId="2" borderId="5" xfId="0" applyFont="1" applyFill="1" applyBorder="1" applyAlignment="1">
      <alignment vertical="top"/>
    </xf>
    <xf numFmtId="0" fontId="12" fillId="2" borderId="8" xfId="0" quotePrefix="1" applyFont="1" applyFill="1" applyBorder="1" applyAlignment="1">
      <alignment vertical="top" wrapText="1"/>
    </xf>
    <xf numFmtId="0" fontId="12" fillId="2" borderId="5" xfId="0" quotePrefix="1" applyFont="1" applyFill="1" applyBorder="1" applyAlignment="1">
      <alignment vertical="top" wrapText="1"/>
    </xf>
    <xf numFmtId="167"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9" fontId="9" fillId="0" borderId="6" xfId="3" quotePrefix="1" applyFont="1" applyFill="1" applyBorder="1" applyAlignment="1">
      <alignment horizontal="left" vertical="top" wrapText="1" indent="1"/>
    </xf>
    <xf numFmtId="0" fontId="9" fillId="0" borderId="9" xfId="0" applyFont="1" applyBorder="1" applyAlignment="1">
      <alignment horizontal="left" vertical="top"/>
    </xf>
    <xf numFmtId="17" fontId="9" fillId="2" borderId="18" xfId="0" applyNumberFormat="1" applyFont="1" applyFill="1" applyBorder="1" applyAlignment="1">
      <alignment horizontal="center" vertical="top" wrapText="1"/>
    </xf>
    <xf numFmtId="17" fontId="13" fillId="2" borderId="33" xfId="0" applyNumberFormat="1" applyFont="1" applyFill="1" applyBorder="1" applyAlignment="1">
      <alignment horizontal="center" vertical="top" wrapText="1"/>
    </xf>
    <xf numFmtId="0" fontId="14" fillId="0" borderId="0" xfId="0" applyFont="1"/>
    <xf numFmtId="0" fontId="8" fillId="0" borderId="8" xfId="0" quotePrefix="1" applyFont="1" applyBorder="1" applyAlignment="1">
      <alignment horizontal="left" vertical="top" wrapText="1" indent="2"/>
    </xf>
    <xf numFmtId="0" fontId="3" fillId="0" borderId="23" xfId="0" applyFont="1" applyBorder="1" applyAlignment="1">
      <alignment horizontal="left" vertical="top"/>
    </xf>
    <xf numFmtId="0" fontId="0" fillId="0" borderId="24" xfId="0" applyBorder="1" applyAlignment="1">
      <alignment horizontal="left" vertical="top"/>
    </xf>
    <xf numFmtId="176" fontId="0" fillId="0" borderId="0" xfId="0" applyNumberFormat="1" applyAlignment="1">
      <alignment horizontal="center"/>
    </xf>
    <xf numFmtId="0" fontId="0" fillId="0" borderId="0" xfId="0" applyAlignment="1">
      <alignment horizontal="left" indent="3"/>
    </xf>
    <xf numFmtId="0" fontId="1" fillId="0" borderId="8" xfId="0" quotePrefix="1" applyFont="1" applyBorder="1" applyAlignment="1">
      <alignment horizontal="left" vertical="top" wrapText="1" indent="1"/>
    </xf>
    <xf numFmtId="3" fontId="15" fillId="0" borderId="2" xfId="0" applyNumberFormat="1" applyFont="1" applyBorder="1" applyAlignment="1">
      <alignment horizontal="center" vertical="top" wrapText="1"/>
    </xf>
    <xf numFmtId="174" fontId="15" fillId="0" borderId="2" xfId="0" applyNumberFormat="1" applyFont="1" applyBorder="1" applyAlignment="1">
      <alignment horizontal="center" vertical="top" wrapText="1"/>
    </xf>
    <xf numFmtId="174" fontId="15" fillId="0" borderId="20" xfId="0" applyNumberFormat="1" applyFont="1" applyBorder="1" applyAlignment="1">
      <alignment horizontal="center" vertical="top" wrapText="1"/>
    </xf>
    <xf numFmtId="174" fontId="16" fillId="0" borderId="34" xfId="0" applyNumberFormat="1" applyFont="1" applyBorder="1" applyAlignment="1">
      <alignment horizontal="center" vertical="top" wrapText="1"/>
    </xf>
    <xf numFmtId="174" fontId="15" fillId="0" borderId="1" xfId="0" applyNumberFormat="1" applyFont="1" applyBorder="1" applyAlignment="1">
      <alignment horizontal="center" vertical="top" wrapText="1"/>
    </xf>
    <xf numFmtId="174" fontId="15" fillId="0" borderId="13" xfId="0" applyNumberFormat="1" applyFont="1" applyBorder="1" applyAlignment="1">
      <alignment horizontal="center" vertical="top" wrapText="1"/>
    </xf>
    <xf numFmtId="9" fontId="15" fillId="0" borderId="3" xfId="3" quotePrefix="1" applyFont="1" applyFill="1" applyBorder="1" applyAlignment="1">
      <alignment horizontal="center" vertical="top" wrapText="1"/>
    </xf>
    <xf numFmtId="9" fontId="15" fillId="0" borderId="20" xfId="3" quotePrefix="1" applyFont="1" applyFill="1" applyBorder="1" applyAlignment="1">
      <alignment horizontal="center" vertical="top" wrapText="1"/>
    </xf>
    <xf numFmtId="9" fontId="16" fillId="0" borderId="35" xfId="3" quotePrefix="1" applyFont="1" applyFill="1" applyBorder="1" applyAlignment="1">
      <alignment horizontal="center" vertical="top" wrapText="1"/>
    </xf>
    <xf numFmtId="9" fontId="15" fillId="0" borderId="14" xfId="3" quotePrefix="1" applyFont="1" applyFill="1" applyBorder="1" applyAlignment="1">
      <alignment horizontal="center" vertical="top" wrapText="1"/>
    </xf>
    <xf numFmtId="174" fontId="15" fillId="0" borderId="16" xfId="0" applyNumberFormat="1" applyFont="1" applyBorder="1" applyAlignment="1">
      <alignment horizontal="center" vertical="top" wrapText="1"/>
    </xf>
    <xf numFmtId="174" fontId="17" fillId="0" borderId="34" xfId="0" applyNumberFormat="1" applyFont="1" applyBorder="1" applyAlignment="1">
      <alignment horizontal="center" vertical="top" wrapText="1"/>
    </xf>
    <xf numFmtId="17" fontId="15" fillId="2" borderId="27" xfId="0" applyNumberFormat="1" applyFont="1" applyFill="1" applyBorder="1" applyAlignment="1">
      <alignment horizontal="center" vertical="top" wrapText="1"/>
    </xf>
    <xf numFmtId="17" fontId="15" fillId="2" borderId="18" xfId="0" applyNumberFormat="1" applyFont="1" applyFill="1" applyBorder="1" applyAlignment="1">
      <alignment horizontal="center" vertical="top" wrapText="1"/>
    </xf>
    <xf numFmtId="17" fontId="16" fillId="2" borderId="36" xfId="0" applyNumberFormat="1" applyFont="1" applyFill="1" applyBorder="1" applyAlignment="1">
      <alignment horizontal="center" vertical="top" wrapText="1"/>
    </xf>
    <xf numFmtId="17" fontId="15" fillId="2" borderId="15" xfId="0" applyNumberFormat="1" applyFont="1" applyFill="1" applyBorder="1" applyAlignment="1">
      <alignment horizontal="center" vertical="top" wrapText="1"/>
    </xf>
    <xf numFmtId="176" fontId="15" fillId="0" borderId="1" xfId="0" applyNumberFormat="1" applyFont="1" applyBorder="1" applyAlignment="1">
      <alignment horizontal="center" vertical="top" wrapText="1"/>
    </xf>
    <xf numFmtId="176" fontId="15" fillId="0" borderId="16" xfId="0" applyNumberFormat="1" applyFont="1" applyBorder="1" applyAlignment="1">
      <alignment horizontal="center" vertical="top" wrapText="1"/>
    </xf>
    <xf numFmtId="176" fontId="16" fillId="0" borderId="34" xfId="0" applyNumberFormat="1" applyFont="1" applyBorder="1" applyAlignment="1">
      <alignment horizontal="center" vertical="top" wrapText="1"/>
    </xf>
    <xf numFmtId="176" fontId="15" fillId="0" borderId="13" xfId="0" applyNumberFormat="1" applyFont="1" applyBorder="1" applyAlignment="1">
      <alignment horizontal="center" vertical="top" wrapText="1"/>
    </xf>
    <xf numFmtId="176" fontId="15" fillId="0" borderId="2" xfId="0" applyNumberFormat="1" applyFont="1" applyBorder="1" applyAlignment="1">
      <alignment horizontal="center" vertical="top" wrapText="1"/>
    </xf>
    <xf numFmtId="176" fontId="15" fillId="0" borderId="17" xfId="0" applyNumberFormat="1" applyFont="1" applyBorder="1" applyAlignment="1">
      <alignment horizontal="center" vertical="top" wrapText="1"/>
    </xf>
    <xf numFmtId="176" fontId="16" fillId="0" borderId="37" xfId="0" applyNumberFormat="1" applyFont="1" applyBorder="1" applyAlignment="1">
      <alignment horizontal="center" vertical="top" wrapText="1"/>
    </xf>
    <xf numFmtId="176" fontId="15" fillId="0" borderId="12" xfId="0" applyNumberFormat="1" applyFont="1" applyBorder="1" applyAlignment="1">
      <alignment horizontal="center" vertical="top" wrapText="1"/>
    </xf>
    <xf numFmtId="3" fontId="15" fillId="0" borderId="17" xfId="0" applyNumberFormat="1" applyFont="1" applyBorder="1" applyAlignment="1">
      <alignment horizontal="center" vertical="top" wrapText="1"/>
    </xf>
    <xf numFmtId="3" fontId="16" fillId="0" borderId="37" xfId="0" applyNumberFormat="1" applyFont="1" applyBorder="1" applyAlignment="1">
      <alignment horizontal="center" vertical="top" wrapText="1"/>
    </xf>
    <xf numFmtId="3" fontId="15" fillId="0" borderId="12" xfId="0" applyNumberFormat="1" applyFont="1" applyBorder="1" applyAlignment="1">
      <alignment horizontal="center" vertical="top" wrapText="1"/>
    </xf>
    <xf numFmtId="170" fontId="15" fillId="0" borderId="1" xfId="0" applyNumberFormat="1" applyFont="1" applyBorder="1" applyAlignment="1">
      <alignment horizontal="center" vertical="center" wrapText="1"/>
    </xf>
    <xf numFmtId="170" fontId="15" fillId="0" borderId="16" xfId="0" applyNumberFormat="1" applyFont="1" applyBorder="1" applyAlignment="1">
      <alignment horizontal="center" vertical="center" wrapText="1"/>
    </xf>
    <xf numFmtId="170" fontId="16" fillId="0" borderId="34" xfId="0" applyNumberFormat="1" applyFont="1" applyBorder="1" applyAlignment="1">
      <alignment horizontal="center" vertical="center" wrapText="1"/>
    </xf>
    <xf numFmtId="170" fontId="15" fillId="0" borderId="13" xfId="0" applyNumberFormat="1" applyFont="1" applyBorder="1" applyAlignment="1">
      <alignment horizontal="center" vertical="center" wrapText="1"/>
    </xf>
    <xf numFmtId="172" fontId="15" fillId="0" borderId="2" xfId="0" applyNumberFormat="1" applyFont="1" applyBorder="1" applyAlignment="1">
      <alignment horizontal="center" vertical="top" wrapText="1"/>
    </xf>
    <xf numFmtId="172" fontId="15" fillId="0" borderId="17" xfId="0" applyNumberFormat="1" applyFont="1" applyBorder="1" applyAlignment="1">
      <alignment horizontal="center" vertical="top" wrapText="1"/>
    </xf>
    <xf numFmtId="172" fontId="16" fillId="0" borderId="37" xfId="0" applyNumberFormat="1" applyFont="1" applyBorder="1" applyAlignment="1">
      <alignment horizontal="center" vertical="top" wrapText="1"/>
    </xf>
    <xf numFmtId="172" fontId="15" fillId="0" borderId="12" xfId="0" applyNumberFormat="1" applyFont="1" applyBorder="1" applyAlignment="1">
      <alignment horizontal="center" vertical="top" wrapText="1"/>
    </xf>
    <xf numFmtId="170" fontId="15" fillId="0" borderId="4" xfId="3" applyNumberFormat="1" applyFont="1" applyFill="1" applyBorder="1" applyAlignment="1">
      <alignment horizontal="center" vertical="top" wrapText="1"/>
    </xf>
    <xf numFmtId="170" fontId="15" fillId="0" borderId="19" xfId="3" applyNumberFormat="1" applyFont="1" applyFill="1" applyBorder="1" applyAlignment="1">
      <alignment horizontal="center" vertical="top" wrapText="1"/>
    </xf>
    <xf numFmtId="170" fontId="16" fillId="0" borderId="38" xfId="3" applyNumberFormat="1" applyFont="1" applyFill="1" applyBorder="1" applyAlignment="1">
      <alignment horizontal="center" vertical="top" wrapText="1"/>
    </xf>
    <xf numFmtId="170" fontId="15" fillId="0" borderId="21" xfId="3" applyNumberFormat="1" applyFont="1" applyFill="1" applyBorder="1" applyAlignment="1">
      <alignment horizontal="center" vertical="top" wrapText="1"/>
    </xf>
    <xf numFmtId="17" fontId="15" fillId="2" borderId="2" xfId="0" applyNumberFormat="1" applyFont="1" applyFill="1" applyBorder="1" applyAlignment="1">
      <alignment horizontal="center" vertical="top" wrapText="1"/>
    </xf>
    <xf numFmtId="17" fontId="15" fillId="2" borderId="17" xfId="0" applyNumberFormat="1" applyFont="1" applyFill="1" applyBorder="1" applyAlignment="1">
      <alignment horizontal="center" vertical="top" wrapText="1"/>
    </xf>
    <xf numFmtId="17" fontId="16" fillId="2" borderId="37" xfId="0" applyNumberFormat="1" applyFont="1" applyFill="1" applyBorder="1" applyAlignment="1">
      <alignment horizontal="center" vertical="top" wrapText="1"/>
    </xf>
    <xf numFmtId="17" fontId="15" fillId="2" borderId="12" xfId="0" applyNumberFormat="1" applyFont="1" applyFill="1" applyBorder="1" applyAlignment="1">
      <alignment horizontal="center" vertical="top" wrapText="1"/>
    </xf>
    <xf numFmtId="171" fontId="15" fillId="0" borderId="3" xfId="0" applyNumberFormat="1" applyFont="1" applyBorder="1" applyAlignment="1">
      <alignment horizontal="center" vertical="top"/>
    </xf>
    <xf numFmtId="171" fontId="15" fillId="0" borderId="20" xfId="0" applyNumberFormat="1" applyFont="1" applyBorder="1" applyAlignment="1">
      <alignment horizontal="center" vertical="top"/>
    </xf>
    <xf numFmtId="171" fontId="16" fillId="0" borderId="34" xfId="0" applyNumberFormat="1" applyFont="1" applyBorder="1" applyAlignment="1">
      <alignment horizontal="center" vertical="center" wrapText="1"/>
    </xf>
    <xf numFmtId="171" fontId="15" fillId="0" borderId="1" xfId="0" applyNumberFormat="1" applyFont="1" applyBorder="1" applyAlignment="1">
      <alignment horizontal="center" vertical="center" wrapText="1"/>
    </xf>
    <xf numFmtId="171" fontId="15" fillId="0" borderId="13" xfId="0" applyNumberFormat="1" applyFont="1" applyBorder="1" applyAlignment="1">
      <alignment horizontal="center" vertical="center" wrapText="1"/>
    </xf>
    <xf numFmtId="171" fontId="15" fillId="0" borderId="16" xfId="0" applyNumberFormat="1" applyFont="1" applyBorder="1" applyAlignment="1">
      <alignment horizontal="center" vertical="center" wrapText="1"/>
    </xf>
    <xf numFmtId="171" fontId="16" fillId="0" borderId="34" xfId="0" quotePrefix="1" applyNumberFormat="1" applyFont="1" applyBorder="1" applyAlignment="1">
      <alignment horizontal="center" vertical="center" wrapText="1"/>
    </xf>
    <xf numFmtId="171" fontId="15" fillId="0" borderId="1" xfId="0" quotePrefix="1" applyNumberFormat="1" applyFont="1" applyBorder="1" applyAlignment="1">
      <alignment horizontal="center" vertical="center" wrapText="1"/>
    </xf>
    <xf numFmtId="175" fontId="15" fillId="0" borderId="1" xfId="0" applyNumberFormat="1" applyFont="1" applyBorder="1" applyAlignment="1">
      <alignment horizontal="center" vertical="center" wrapText="1"/>
    </xf>
    <xf numFmtId="175" fontId="15" fillId="0" borderId="16" xfId="0" applyNumberFormat="1" applyFont="1" applyBorder="1" applyAlignment="1">
      <alignment horizontal="center" vertical="center" wrapText="1"/>
    </xf>
    <xf numFmtId="175" fontId="16" fillId="0" borderId="34" xfId="0" applyNumberFormat="1" applyFont="1" applyBorder="1" applyAlignment="1">
      <alignment horizontal="center" vertical="center" wrapText="1"/>
    </xf>
    <xf numFmtId="175" fontId="15" fillId="0" borderId="13" xfId="0" applyNumberFormat="1" applyFont="1" applyBorder="1" applyAlignment="1">
      <alignment horizontal="center" vertical="center" wrapText="1"/>
    </xf>
    <xf numFmtId="175" fontId="15" fillId="0" borderId="3" xfId="0" applyNumberFormat="1" applyFont="1" applyBorder="1" applyAlignment="1">
      <alignment horizontal="center" vertical="center" wrapText="1"/>
    </xf>
    <xf numFmtId="175" fontId="15" fillId="0" borderId="20" xfId="0" applyNumberFormat="1" applyFont="1" applyBorder="1" applyAlignment="1">
      <alignment horizontal="center" vertical="center" wrapText="1"/>
    </xf>
    <xf numFmtId="175" fontId="16" fillId="0" borderId="35" xfId="0" applyNumberFormat="1" applyFont="1" applyBorder="1" applyAlignment="1">
      <alignment horizontal="center" vertical="center" wrapText="1"/>
    </xf>
    <xf numFmtId="175" fontId="15" fillId="0" borderId="14" xfId="0" applyNumberFormat="1" applyFont="1" applyBorder="1" applyAlignment="1">
      <alignment horizontal="center" vertical="center" wrapText="1"/>
    </xf>
    <xf numFmtId="175" fontId="16" fillId="0" borderId="35" xfId="0" quotePrefix="1" applyNumberFormat="1" applyFont="1" applyBorder="1" applyAlignment="1">
      <alignment horizontal="center" vertical="center" wrapText="1"/>
    </xf>
    <xf numFmtId="175" fontId="15" fillId="0" borderId="3" xfId="0" quotePrefix="1" applyNumberFormat="1" applyFont="1" applyBorder="1" applyAlignment="1">
      <alignment horizontal="center" vertical="center" wrapText="1"/>
    </xf>
    <xf numFmtId="2" fontId="15" fillId="2" borderId="27" xfId="0" applyNumberFormat="1" applyFont="1" applyFill="1" applyBorder="1" applyAlignment="1">
      <alignment horizontal="center" vertical="center" wrapText="1"/>
    </xf>
    <xf numFmtId="2" fontId="15" fillId="2" borderId="18" xfId="0" applyNumberFormat="1" applyFont="1" applyFill="1" applyBorder="1" applyAlignment="1">
      <alignment horizontal="center" vertical="center" wrapText="1"/>
    </xf>
    <xf numFmtId="2" fontId="16" fillId="2" borderId="36" xfId="0" applyNumberFormat="1" applyFont="1" applyFill="1" applyBorder="1" applyAlignment="1">
      <alignment horizontal="center" vertical="center" wrapText="1"/>
    </xf>
    <xf numFmtId="2" fontId="15" fillId="2" borderId="15" xfId="0" applyNumberFormat="1" applyFont="1" applyFill="1" applyBorder="1" applyAlignment="1">
      <alignment horizontal="center" vertical="center" wrapText="1"/>
    </xf>
    <xf numFmtId="174" fontId="15" fillId="0" borderId="1" xfId="0" quotePrefix="1" applyNumberFormat="1" applyFont="1" applyBorder="1" applyAlignment="1">
      <alignment horizontal="center" vertical="center" wrapText="1"/>
    </xf>
    <xf numFmtId="174" fontId="15" fillId="0" borderId="16" xfId="0" quotePrefix="1" applyNumberFormat="1" applyFont="1" applyBorder="1" applyAlignment="1">
      <alignment horizontal="center" vertical="center" wrapText="1"/>
    </xf>
    <xf numFmtId="174" fontId="16" fillId="0" borderId="34" xfId="0" quotePrefix="1" applyNumberFormat="1" applyFont="1" applyBorder="1" applyAlignment="1">
      <alignment horizontal="center" vertical="center" wrapText="1"/>
    </xf>
    <xf numFmtId="174" fontId="15" fillId="0" borderId="13" xfId="0" quotePrefix="1" applyNumberFormat="1" applyFont="1" applyBorder="1" applyAlignment="1">
      <alignment horizontal="center" vertical="center" wrapText="1"/>
    </xf>
    <xf numFmtId="174" fontId="15" fillId="0" borderId="2" xfId="0" quotePrefix="1" applyNumberFormat="1" applyFont="1" applyBorder="1" applyAlignment="1">
      <alignment horizontal="center" vertical="center" wrapText="1"/>
    </xf>
    <xf numFmtId="174" fontId="15" fillId="0" borderId="17" xfId="0" quotePrefix="1" applyNumberFormat="1" applyFont="1" applyBorder="1" applyAlignment="1">
      <alignment horizontal="center" vertical="center" wrapText="1"/>
    </xf>
    <xf numFmtId="174" fontId="16" fillId="0" borderId="37" xfId="0" quotePrefix="1" applyNumberFormat="1" applyFont="1" applyBorder="1" applyAlignment="1">
      <alignment horizontal="center" vertical="center" wrapText="1"/>
    </xf>
    <xf numFmtId="174" fontId="15" fillId="0" borderId="12" xfId="0" quotePrefix="1" applyNumberFormat="1" applyFont="1" applyBorder="1" applyAlignment="1">
      <alignment horizontal="center" vertical="center" wrapText="1"/>
    </xf>
    <xf numFmtId="9" fontId="15" fillId="0" borderId="1" xfId="3" quotePrefix="1" applyFont="1" applyFill="1" applyBorder="1" applyAlignment="1">
      <alignment horizontal="center" vertical="center" wrapText="1"/>
    </xf>
    <xf numFmtId="9" fontId="15" fillId="0" borderId="16" xfId="3" quotePrefix="1" applyFont="1" applyFill="1" applyBorder="1" applyAlignment="1">
      <alignment horizontal="center" vertical="center" wrapText="1"/>
    </xf>
    <xf numFmtId="9" fontId="16" fillId="0" borderId="34" xfId="3" quotePrefix="1" applyFont="1" applyFill="1" applyBorder="1" applyAlignment="1">
      <alignment horizontal="center" vertical="center" wrapText="1"/>
    </xf>
    <xf numFmtId="9" fontId="15" fillId="0" borderId="13" xfId="3" quotePrefix="1" applyFont="1" applyFill="1" applyBorder="1" applyAlignment="1">
      <alignment horizontal="center" vertical="center" wrapText="1"/>
    </xf>
    <xf numFmtId="9" fontId="15" fillId="0" borderId="31" xfId="3" quotePrefix="1" applyFont="1" applyFill="1" applyBorder="1" applyAlignment="1">
      <alignment horizontal="center" vertical="center" wrapText="1"/>
    </xf>
    <xf numFmtId="9" fontId="15" fillId="0" borderId="28" xfId="3" quotePrefix="1" applyFont="1" applyFill="1" applyBorder="1" applyAlignment="1">
      <alignment horizontal="center" vertical="center" wrapText="1"/>
    </xf>
    <xf numFmtId="9" fontId="16" fillId="0" borderId="39" xfId="3" quotePrefix="1" applyFont="1" applyFill="1" applyBorder="1" applyAlignment="1">
      <alignment horizontal="center" vertical="center" wrapText="1"/>
    </xf>
    <xf numFmtId="9" fontId="15" fillId="0" borderId="32" xfId="3" quotePrefix="1" applyFont="1" applyFill="1" applyBorder="1" applyAlignment="1">
      <alignment horizontal="center" vertical="center" wrapText="1"/>
    </xf>
    <xf numFmtId="0" fontId="15" fillId="0" borderId="1" xfId="0" applyFont="1" applyBorder="1" applyAlignment="1">
      <alignment horizontal="center" wrapText="1"/>
    </xf>
    <xf numFmtId="0" fontId="15" fillId="0" borderId="16" xfId="0" applyFont="1" applyBorder="1" applyAlignment="1">
      <alignment horizontal="center" wrapText="1"/>
    </xf>
    <xf numFmtId="0" fontId="16" fillId="0" borderId="34" xfId="0" applyFont="1" applyBorder="1" applyAlignment="1">
      <alignment horizontal="center" wrapText="1"/>
    </xf>
    <xf numFmtId="0" fontId="15" fillId="0" borderId="13" xfId="0" applyFont="1" applyBorder="1" applyAlignment="1">
      <alignment horizontal="center" wrapText="1"/>
    </xf>
    <xf numFmtId="3" fontId="15" fillId="0" borderId="1" xfId="0" applyNumberFormat="1" applyFont="1" applyBorder="1" applyAlignment="1">
      <alignment horizontal="center" vertical="center" wrapText="1"/>
    </xf>
    <xf numFmtId="3" fontId="15" fillId="0" borderId="16" xfId="0" applyNumberFormat="1" applyFont="1" applyBorder="1" applyAlignment="1">
      <alignment horizontal="center" vertical="center" wrapText="1"/>
    </xf>
    <xf numFmtId="3" fontId="16" fillId="0" borderId="34" xfId="0" applyNumberFormat="1" applyFont="1" applyBorder="1" applyAlignment="1">
      <alignment horizontal="center" vertical="center" wrapText="1"/>
    </xf>
    <xf numFmtId="3" fontId="15" fillId="0" borderId="13" xfId="0" applyNumberFormat="1" applyFont="1" applyBorder="1" applyAlignment="1">
      <alignment horizontal="center" vertical="center" wrapText="1"/>
    </xf>
    <xf numFmtId="173" fontId="15" fillId="0" borderId="1" xfId="2" applyNumberFormat="1" applyFont="1" applyFill="1" applyBorder="1" applyAlignment="1">
      <alignment horizontal="center" vertical="center" wrapText="1"/>
    </xf>
    <xf numFmtId="173" fontId="15" fillId="0" borderId="16" xfId="2" applyNumberFormat="1" applyFont="1" applyFill="1" applyBorder="1" applyAlignment="1">
      <alignment horizontal="center" vertical="center" wrapText="1"/>
    </xf>
    <xf numFmtId="173" fontId="16" fillId="0" borderId="34" xfId="2" applyNumberFormat="1" applyFont="1" applyFill="1" applyBorder="1" applyAlignment="1">
      <alignment horizontal="center" vertical="center" wrapText="1"/>
    </xf>
    <xf numFmtId="173" fontId="15" fillId="0" borderId="13" xfId="2" applyNumberFormat="1" applyFont="1" applyFill="1" applyBorder="1" applyAlignment="1">
      <alignment horizontal="center" vertical="center" wrapText="1"/>
    </xf>
    <xf numFmtId="164" fontId="15" fillId="0" borderId="1" xfId="0" applyNumberFormat="1" applyFont="1" applyBorder="1" applyAlignment="1">
      <alignment horizontal="center" vertical="center" wrapText="1"/>
    </xf>
    <xf numFmtId="164" fontId="15" fillId="0" borderId="16" xfId="0" applyNumberFormat="1" applyFont="1" applyBorder="1" applyAlignment="1">
      <alignment horizontal="center" vertical="center" wrapText="1"/>
    </xf>
    <xf numFmtId="164" fontId="16" fillId="0" borderId="34" xfId="0" quotePrefix="1" applyNumberFormat="1" applyFont="1" applyBorder="1" applyAlignment="1">
      <alignment horizontal="center" vertical="center" wrapText="1"/>
    </xf>
    <xf numFmtId="164" fontId="15" fillId="0" borderId="1" xfId="0" quotePrefix="1" applyNumberFormat="1" applyFont="1" applyBorder="1" applyAlignment="1">
      <alignment horizontal="center" vertical="center" wrapText="1"/>
    </xf>
    <xf numFmtId="164" fontId="15" fillId="0" borderId="13" xfId="0" applyNumberFormat="1" applyFont="1" applyBorder="1" applyAlignment="1">
      <alignment horizontal="center" vertical="center" wrapText="1"/>
    </xf>
    <xf numFmtId="3" fontId="16" fillId="0" borderId="34" xfId="0" quotePrefix="1" applyNumberFormat="1" applyFont="1" applyBorder="1" applyAlignment="1">
      <alignment horizontal="center" vertical="center" wrapText="1"/>
    </xf>
    <xf numFmtId="3" fontId="15" fillId="0" borderId="1" xfId="0" quotePrefix="1" applyNumberFormat="1" applyFont="1" applyBorder="1" applyAlignment="1">
      <alignment horizontal="center" vertical="center" wrapText="1"/>
    </xf>
    <xf numFmtId="172" fontId="16" fillId="0" borderId="34" xfId="0" quotePrefix="1" applyNumberFormat="1" applyFont="1" applyBorder="1" applyAlignment="1">
      <alignment horizontal="center" vertical="center" wrapText="1"/>
    </xf>
    <xf numFmtId="172" fontId="15" fillId="0" borderId="1" xfId="0" quotePrefix="1" applyNumberFormat="1" applyFont="1" applyBorder="1" applyAlignment="1">
      <alignment horizontal="center" vertical="center" wrapText="1"/>
    </xf>
    <xf numFmtId="172" fontId="15" fillId="0" borderId="1" xfId="0" applyNumberFormat="1" applyFont="1" applyBorder="1" applyAlignment="1">
      <alignment horizontal="center" vertical="center" wrapText="1"/>
    </xf>
    <xf numFmtId="172" fontId="15" fillId="0" borderId="13" xfId="0" applyNumberFormat="1" applyFont="1" applyBorder="1" applyAlignment="1">
      <alignment horizontal="center" vertical="center" wrapText="1"/>
    </xf>
    <xf numFmtId="3" fontId="15" fillId="0" borderId="2" xfId="0" quotePrefix="1" applyNumberFormat="1" applyFont="1" applyBorder="1" applyAlignment="1">
      <alignment horizontal="center" vertical="center" wrapText="1"/>
    </xf>
    <xf numFmtId="3" fontId="15" fillId="0" borderId="17" xfId="0" quotePrefix="1" applyNumberFormat="1" applyFont="1" applyBorder="1" applyAlignment="1">
      <alignment horizontal="center" vertical="center" wrapText="1"/>
    </xf>
    <xf numFmtId="3" fontId="15" fillId="0" borderId="13" xfId="0" quotePrefix="1" applyNumberFormat="1" applyFont="1" applyBorder="1" applyAlignment="1">
      <alignment horizontal="center" vertical="center" wrapText="1"/>
    </xf>
    <xf numFmtId="3" fontId="15" fillId="0" borderId="3" xfId="0" applyNumberFormat="1" applyFont="1" applyBorder="1" applyAlignment="1">
      <alignment horizontal="center" vertical="center" wrapText="1"/>
    </xf>
    <xf numFmtId="3" fontId="15" fillId="0" borderId="20" xfId="0" applyNumberFormat="1" applyFont="1" applyBorder="1" applyAlignment="1">
      <alignment horizontal="center" vertical="center" wrapText="1"/>
    </xf>
    <xf numFmtId="3" fontId="16" fillId="0" borderId="35" xfId="0" quotePrefix="1" applyNumberFormat="1" applyFont="1" applyBorder="1" applyAlignment="1">
      <alignment horizontal="center" vertical="center" wrapText="1"/>
    </xf>
    <xf numFmtId="3" fontId="15" fillId="0" borderId="3" xfId="0" quotePrefix="1" applyNumberFormat="1" applyFont="1" applyBorder="1" applyAlignment="1">
      <alignment horizontal="center" vertical="center" wrapText="1"/>
    </xf>
    <xf numFmtId="3" fontId="15" fillId="0" borderId="16" xfId="0" quotePrefix="1" applyNumberFormat="1" applyFont="1" applyBorder="1" applyAlignment="1">
      <alignment horizontal="center" vertical="center" wrapText="1"/>
    </xf>
    <xf numFmtId="3" fontId="15" fillId="0" borderId="4" xfId="0" quotePrefix="1" applyNumberFormat="1" applyFont="1" applyBorder="1" applyAlignment="1">
      <alignment horizontal="center" vertical="center" wrapText="1"/>
    </xf>
    <xf numFmtId="3" fontId="15" fillId="0" borderId="19" xfId="0" quotePrefix="1" applyNumberFormat="1" applyFont="1" applyBorder="1" applyAlignment="1">
      <alignment horizontal="center" vertical="center" wrapText="1"/>
    </xf>
    <xf numFmtId="3" fontId="16" fillId="0" borderId="38" xfId="0" quotePrefix="1" applyNumberFormat="1" applyFont="1" applyBorder="1" applyAlignment="1">
      <alignment horizontal="center" vertical="center" wrapText="1"/>
    </xf>
    <xf numFmtId="3" fontId="15" fillId="0" borderId="21" xfId="0" quotePrefix="1" applyNumberFormat="1" applyFont="1" applyBorder="1" applyAlignment="1">
      <alignment horizontal="center" vertical="center" wrapText="1"/>
    </xf>
    <xf numFmtId="164" fontId="16" fillId="0" borderId="34" xfId="0" applyNumberFormat="1" applyFont="1" applyBorder="1" applyAlignment="1">
      <alignment horizontal="center" vertical="center" wrapText="1"/>
    </xf>
    <xf numFmtId="9" fontId="15" fillId="0" borderId="4" xfId="3" quotePrefix="1" applyFont="1" applyFill="1" applyBorder="1" applyAlignment="1">
      <alignment horizontal="center" vertical="center" wrapText="1"/>
    </xf>
    <xf numFmtId="9" fontId="15" fillId="0" borderId="19" xfId="3" quotePrefix="1" applyFont="1" applyFill="1" applyBorder="1" applyAlignment="1">
      <alignment horizontal="center" vertical="center" wrapText="1"/>
    </xf>
    <xf numFmtId="9" fontId="16" fillId="0" borderId="38" xfId="3" quotePrefix="1" applyFont="1" applyFill="1" applyBorder="1" applyAlignment="1">
      <alignment horizontal="center" vertical="center" wrapText="1"/>
    </xf>
    <xf numFmtId="9" fontId="15" fillId="0" borderId="21" xfId="3" quotePrefix="1" applyFont="1" applyFill="1" applyBorder="1" applyAlignment="1">
      <alignment horizontal="center" vertical="center" wrapText="1"/>
    </xf>
    <xf numFmtId="174" fontId="15" fillId="0" borderId="28" xfId="0" applyNumberFormat="1" applyFont="1" applyBorder="1" applyAlignment="1">
      <alignment horizontal="center" vertical="top" wrapText="1"/>
    </xf>
    <xf numFmtId="1" fontId="9" fillId="0" borderId="6" xfId="0" quotePrefix="1" applyNumberFormat="1" applyFont="1" applyBorder="1" applyAlignment="1">
      <alignment horizontal="left" vertical="top" wrapText="1" indent="1"/>
    </xf>
    <xf numFmtId="1" fontId="15" fillId="0" borderId="2" xfId="0" applyNumberFormat="1" applyFont="1" applyBorder="1" applyAlignment="1">
      <alignment horizontal="center" vertical="top" wrapText="1"/>
    </xf>
    <xf numFmtId="1" fontId="15" fillId="0" borderId="20" xfId="0" applyNumberFormat="1" applyFont="1" applyBorder="1" applyAlignment="1">
      <alignment horizontal="center" vertical="top" wrapText="1"/>
    </xf>
    <xf numFmtId="1" fontId="16" fillId="0" borderId="34" xfId="0" applyNumberFormat="1" applyFont="1" applyBorder="1" applyAlignment="1">
      <alignment horizontal="center" vertical="top" wrapText="1"/>
    </xf>
    <xf numFmtId="1" fontId="15" fillId="0" borderId="1" xfId="0" applyNumberFormat="1" applyFont="1" applyBorder="1" applyAlignment="1">
      <alignment horizontal="center" vertical="top" wrapText="1"/>
    </xf>
    <xf numFmtId="1" fontId="15" fillId="0" borderId="13" xfId="0" applyNumberFormat="1" applyFont="1" applyBorder="1" applyAlignment="1">
      <alignment horizontal="center" vertical="top" wrapText="1"/>
    </xf>
    <xf numFmtId="1" fontId="0" fillId="0" borderId="0" xfId="0" applyNumberFormat="1"/>
    <xf numFmtId="1" fontId="9" fillId="0" borderId="6" xfId="0" quotePrefix="1" applyNumberFormat="1" applyFont="1" applyBorder="1" applyAlignment="1">
      <alignment horizontal="left" vertical="top" wrapText="1" indent="2"/>
    </xf>
    <xf numFmtId="0" fontId="9" fillId="0" borderId="0" xfId="0" applyFont="1" applyAlignment="1">
      <alignment horizontal="center"/>
    </xf>
    <xf numFmtId="0" fontId="9" fillId="0" borderId="0" xfId="0" applyFont="1"/>
    <xf numFmtId="0" fontId="13" fillId="0" borderId="0" xfId="0" applyFont="1" applyAlignment="1">
      <alignment horizontal="center"/>
    </xf>
    <xf numFmtId="167" fontId="13" fillId="0" borderId="0" xfId="0" applyNumberFormat="1" applyFont="1" applyAlignment="1">
      <alignment horizontal="center"/>
    </xf>
    <xf numFmtId="0" fontId="0" fillId="0" borderId="0" xfId="0" applyAlignment="1">
      <alignment horizontal="right"/>
    </xf>
    <xf numFmtId="0" fontId="3" fillId="0" borderId="44" xfId="0" applyFont="1" applyBorder="1" applyAlignment="1">
      <alignment horizontal="left" vertical="top"/>
    </xf>
    <xf numFmtId="0" fontId="3" fillId="0" borderId="45" xfId="0" applyFont="1" applyBorder="1" applyAlignment="1">
      <alignment horizontal="left" vertical="top"/>
    </xf>
    <xf numFmtId="0" fontId="10" fillId="0" borderId="56" xfId="0" quotePrefix="1" applyFont="1" applyBorder="1" applyAlignment="1">
      <alignment horizontal="left" vertical="center"/>
    </xf>
    <xf numFmtId="0" fontId="9" fillId="0" borderId="52" xfId="0" quotePrefix="1" applyFont="1" applyBorder="1" applyAlignment="1">
      <alignment horizontal="left" vertical="center"/>
    </xf>
    <xf numFmtId="0" fontId="9" fillId="0" borderId="57" xfId="0" quotePrefix="1" applyFont="1" applyBorder="1" applyAlignment="1">
      <alignment horizontal="left" vertical="top"/>
    </xf>
    <xf numFmtId="0" fontId="9" fillId="0" borderId="26" xfId="0" quotePrefix="1" applyFont="1" applyBorder="1" applyAlignment="1">
      <alignment horizontal="left" vertical="top"/>
    </xf>
    <xf numFmtId="0" fontId="9" fillId="0" borderId="25" xfId="0" quotePrefix="1" applyFont="1" applyBorder="1" applyAlignment="1">
      <alignment horizontal="left" vertical="top"/>
    </xf>
    <xf numFmtId="0" fontId="9" fillId="0" borderId="50" xfId="0" quotePrefix="1" applyFont="1" applyBorder="1" applyAlignment="1">
      <alignment horizontal="left" vertical="top"/>
    </xf>
    <xf numFmtId="0" fontId="12" fillId="2" borderId="51" xfId="0" applyFont="1" applyFill="1" applyBorder="1" applyAlignment="1">
      <alignment vertical="top"/>
    </xf>
    <xf numFmtId="0" fontId="12" fillId="2" borderId="46" xfId="0" applyFont="1" applyFill="1" applyBorder="1" applyAlignment="1">
      <alignment vertical="top"/>
    </xf>
    <xf numFmtId="0" fontId="9" fillId="0" borderId="41" xfId="0" quotePrefix="1" applyFont="1" applyBorder="1" applyAlignment="1">
      <alignment horizontal="left" vertical="center"/>
    </xf>
    <xf numFmtId="0" fontId="3" fillId="0" borderId="41" xfId="0" applyFont="1" applyBorder="1" applyAlignment="1">
      <alignment vertical="top"/>
    </xf>
    <xf numFmtId="0" fontId="19" fillId="0" borderId="0" xfId="0" applyFont="1"/>
    <xf numFmtId="17" fontId="9" fillId="2" borderId="27" xfId="0" applyNumberFormat="1" applyFont="1" applyFill="1" applyBorder="1" applyAlignment="1">
      <alignment horizontal="center" vertical="top"/>
    </xf>
    <xf numFmtId="17" fontId="9" fillId="2" borderId="43" xfId="0" applyNumberFormat="1" applyFont="1" applyFill="1" applyBorder="1" applyAlignment="1">
      <alignment horizontal="center" vertical="top"/>
    </xf>
    <xf numFmtId="17" fontId="13" fillId="2" borderId="44" xfId="0" applyNumberFormat="1" applyFont="1" applyFill="1" applyBorder="1" applyAlignment="1">
      <alignment horizontal="center" vertical="top"/>
    </xf>
    <xf numFmtId="17" fontId="9" fillId="2" borderId="29" xfId="0" applyNumberFormat="1" applyFont="1" applyFill="1" applyBorder="1" applyAlignment="1">
      <alignment horizontal="center" vertical="top"/>
    </xf>
    <xf numFmtId="3" fontId="15" fillId="0" borderId="26" xfId="5" quotePrefix="1" applyNumberFormat="1" applyFont="1" applyFill="1" applyBorder="1" applyAlignment="1">
      <alignment horizontal="center" vertical="top"/>
    </xf>
    <xf numFmtId="3" fontId="15" fillId="0" borderId="49" xfId="5" quotePrefix="1" applyNumberFormat="1" applyFont="1" applyFill="1" applyBorder="1" applyAlignment="1">
      <alignment horizontal="center" vertical="top"/>
    </xf>
    <xf numFmtId="3" fontId="16" fillId="0" borderId="26" xfId="5" quotePrefix="1" applyNumberFormat="1" applyFont="1" applyFill="1" applyBorder="1" applyAlignment="1">
      <alignment horizontal="center" vertical="top"/>
    </xf>
    <xf numFmtId="3" fontId="15" fillId="0" borderId="1" xfId="5" quotePrefix="1" applyNumberFormat="1" applyFont="1" applyFill="1" applyBorder="1" applyAlignment="1">
      <alignment horizontal="center" vertical="top"/>
    </xf>
    <xf numFmtId="1" fontId="9" fillId="0" borderId="26" xfId="0" quotePrefix="1" applyNumberFormat="1" applyFont="1" applyBorder="1" applyAlignment="1">
      <alignment horizontal="left" vertical="top"/>
    </xf>
    <xf numFmtId="9" fontId="9" fillId="0" borderId="26" xfId="3" quotePrefix="1" applyFont="1" applyFill="1" applyBorder="1" applyAlignment="1">
      <alignment horizontal="left" vertical="top"/>
    </xf>
    <xf numFmtId="9" fontId="15" fillId="0" borderId="26" xfId="3" quotePrefix="1" applyFont="1" applyFill="1" applyBorder="1" applyAlignment="1">
      <alignment horizontal="center" vertical="top"/>
    </xf>
    <xf numFmtId="9" fontId="15" fillId="0" borderId="49" xfId="3" quotePrefix="1" applyFont="1" applyFill="1" applyBorder="1" applyAlignment="1">
      <alignment horizontal="center" vertical="top"/>
    </xf>
    <xf numFmtId="9" fontId="16" fillId="0" borderId="26" xfId="3" quotePrefix="1" applyFont="1" applyFill="1" applyBorder="1" applyAlignment="1">
      <alignment horizontal="center" vertical="top"/>
    </xf>
    <xf numFmtId="9" fontId="15" fillId="0" borderId="1" xfId="3" quotePrefix="1" applyFont="1" applyFill="1" applyBorder="1" applyAlignment="1">
      <alignment horizontal="center" vertical="top"/>
    </xf>
    <xf numFmtId="0" fontId="9" fillId="0" borderId="45" xfId="0" quotePrefix="1" applyFont="1" applyBorder="1" applyAlignment="1">
      <alignment horizontal="left" vertical="top"/>
    </xf>
    <xf numFmtId="3" fontId="15" fillId="0" borderId="50" xfId="5" quotePrefix="1" applyNumberFormat="1" applyFont="1" applyFill="1" applyBorder="1" applyAlignment="1">
      <alignment horizontal="center" vertical="top"/>
    </xf>
    <xf numFmtId="3" fontId="15" fillId="0" borderId="53" xfId="5" quotePrefix="1" applyNumberFormat="1" applyFont="1" applyFill="1" applyBorder="1" applyAlignment="1">
      <alignment horizontal="center" vertical="top"/>
    </xf>
    <xf numFmtId="3" fontId="16" fillId="0" borderId="50" xfId="5" quotePrefix="1" applyNumberFormat="1" applyFont="1" applyFill="1" applyBorder="1" applyAlignment="1">
      <alignment horizontal="center" vertical="top"/>
    </xf>
    <xf numFmtId="3" fontId="15" fillId="0" borderId="4" xfId="5" quotePrefix="1" applyNumberFormat="1" applyFont="1" applyFill="1" applyBorder="1" applyAlignment="1">
      <alignment horizontal="center" vertical="top"/>
    </xf>
    <xf numFmtId="17" fontId="15" fillId="2" borderId="27" xfId="0" applyNumberFormat="1" applyFont="1" applyFill="1" applyBorder="1" applyAlignment="1">
      <alignment horizontal="right" vertical="top"/>
    </xf>
    <xf numFmtId="17" fontId="15" fillId="2" borderId="43" xfId="0" applyNumberFormat="1" applyFont="1" applyFill="1" applyBorder="1" applyAlignment="1">
      <alignment horizontal="right" vertical="top"/>
    </xf>
    <xf numFmtId="17" fontId="16" fillId="2" borderId="46" xfId="0" applyNumberFormat="1" applyFont="1" applyFill="1" applyBorder="1" applyAlignment="1">
      <alignment horizontal="center" vertical="top"/>
    </xf>
    <xf numFmtId="17" fontId="15" fillId="2" borderId="27" xfId="0" applyNumberFormat="1" applyFont="1" applyFill="1" applyBorder="1" applyAlignment="1">
      <alignment horizontal="center" vertical="top"/>
    </xf>
    <xf numFmtId="0" fontId="9" fillId="0" borderId="59" xfId="0" quotePrefix="1" applyFont="1" applyBorder="1" applyAlignment="1">
      <alignment horizontal="left" vertical="top"/>
    </xf>
    <xf numFmtId="0" fontId="9" fillId="0" borderId="0" xfId="0" quotePrefix="1" applyFont="1" applyAlignment="1">
      <alignment horizontal="left" vertical="top"/>
    </xf>
    <xf numFmtId="3" fontId="15" fillId="0" borderId="0" xfId="5" quotePrefix="1" applyNumberFormat="1" applyFont="1" applyFill="1" applyBorder="1" applyAlignment="1">
      <alignment horizontal="center" vertical="top"/>
    </xf>
    <xf numFmtId="0" fontId="0" fillId="0" borderId="0" xfId="0" applyAlignment="1">
      <alignment horizontal="left"/>
    </xf>
    <xf numFmtId="0" fontId="0" fillId="0" borderId="0" xfId="0" quotePrefix="1" applyAlignment="1">
      <alignment horizontal="left"/>
    </xf>
    <xf numFmtId="0" fontId="12" fillId="2" borderId="61" xfId="0" applyFont="1" applyFill="1" applyBorder="1" applyAlignment="1">
      <alignment vertical="top"/>
    </xf>
    <xf numFmtId="1" fontId="0" fillId="0" borderId="0" xfId="0" applyNumberFormat="1" applyAlignment="1">
      <alignment horizontal="right"/>
    </xf>
    <xf numFmtId="1" fontId="9" fillId="0" borderId="0" xfId="0" applyNumberFormat="1" applyFont="1" applyAlignment="1">
      <alignment horizontal="right"/>
    </xf>
    <xf numFmtId="0" fontId="3" fillId="0" borderId="54" xfId="0" applyFont="1" applyBorder="1" applyAlignment="1">
      <alignment horizontal="left" vertical="top"/>
    </xf>
    <xf numFmtId="0" fontId="3" fillId="0" borderId="59" xfId="0" applyFont="1" applyBorder="1" applyAlignment="1">
      <alignment horizontal="left" vertical="top"/>
    </xf>
    <xf numFmtId="0" fontId="9" fillId="0" borderId="42" xfId="0" quotePrefix="1" applyFont="1" applyBorder="1" applyAlignment="1">
      <alignment horizontal="left" vertical="top"/>
    </xf>
    <xf numFmtId="1" fontId="9" fillId="0" borderId="42" xfId="0" quotePrefix="1" applyNumberFormat="1" applyFont="1" applyBorder="1" applyAlignment="1">
      <alignment horizontal="left" vertical="top"/>
    </xf>
    <xf numFmtId="9" fontId="9" fillId="0" borderId="42" xfId="3" quotePrefix="1" applyFont="1" applyFill="1" applyBorder="1" applyAlignment="1">
      <alignment horizontal="left" vertical="top"/>
    </xf>
    <xf numFmtId="0" fontId="9" fillId="0" borderId="60" xfId="0" quotePrefix="1" applyFont="1" applyBorder="1" applyAlignment="1">
      <alignment horizontal="left" vertical="top"/>
    </xf>
    <xf numFmtId="1" fontId="9" fillId="0" borderId="60" xfId="0" quotePrefix="1" applyNumberFormat="1" applyFont="1" applyBorder="1" applyAlignment="1">
      <alignment horizontal="left" vertical="top"/>
    </xf>
    <xf numFmtId="9" fontId="9" fillId="0" borderId="60" xfId="3" quotePrefix="1" applyFont="1" applyFill="1" applyBorder="1" applyAlignment="1">
      <alignment horizontal="left" vertical="top"/>
    </xf>
    <xf numFmtId="0" fontId="9" fillId="0" borderId="41" xfId="0" quotePrefix="1" applyFont="1" applyBorder="1" applyAlignment="1">
      <alignment horizontal="left" vertical="top"/>
    </xf>
    <xf numFmtId="0" fontId="1" fillId="0" borderId="58" xfId="0" quotePrefix="1" applyFont="1" applyBorder="1" applyAlignment="1">
      <alignment horizontal="left" vertical="center" indent="2"/>
    </xf>
    <xf numFmtId="0" fontId="3" fillId="0" borderId="40" xfId="0" applyFont="1" applyBorder="1" applyAlignment="1">
      <alignment vertical="top"/>
    </xf>
    <xf numFmtId="1" fontId="9" fillId="0" borderId="25" xfId="0" quotePrefix="1" applyNumberFormat="1" applyFont="1" applyBorder="1" applyAlignment="1">
      <alignment horizontal="left" vertical="top"/>
    </xf>
    <xf numFmtId="1" fontId="9" fillId="0" borderId="57" xfId="0" quotePrefix="1" applyNumberFormat="1" applyFont="1" applyBorder="1" applyAlignment="1">
      <alignment horizontal="left" vertical="top"/>
    </xf>
    <xf numFmtId="1" fontId="9" fillId="0" borderId="42" xfId="0" quotePrefix="1" applyNumberFormat="1" applyFont="1" applyBorder="1" applyAlignment="1">
      <alignment horizontal="left" vertical="top" indent="2"/>
    </xf>
    <xf numFmtId="0" fontId="9" fillId="0" borderId="55" xfId="0" quotePrefix="1" applyFont="1" applyBorder="1" applyAlignment="1">
      <alignment horizontal="left" vertical="top" indent="2"/>
    </xf>
    <xf numFmtId="0" fontId="20" fillId="0" borderId="0" xfId="0" applyFont="1"/>
    <xf numFmtId="3" fontId="14" fillId="0" borderId="0" xfId="0" applyNumberFormat="1" applyFont="1"/>
    <xf numFmtId="3" fontId="19" fillId="0" borderId="0" xfId="0" applyNumberFormat="1" applyFont="1"/>
    <xf numFmtId="3" fontId="9" fillId="0" borderId="0" xfId="5" quotePrefix="1" applyNumberFormat="1" applyFont="1" applyFill="1" applyBorder="1" applyAlignment="1">
      <alignment horizontal="left" vertical="top"/>
    </xf>
    <xf numFmtId="3" fontId="9" fillId="0" borderId="0" xfId="5" quotePrefix="1" applyNumberFormat="1" applyFont="1" applyFill="1" applyBorder="1" applyAlignment="1">
      <alignment horizontal="center" vertical="top"/>
    </xf>
    <xf numFmtId="3" fontId="13" fillId="0" borderId="0" xfId="5" quotePrefix="1" applyNumberFormat="1" applyFont="1" applyFill="1" applyBorder="1" applyAlignment="1">
      <alignment horizontal="center" vertical="top"/>
    </xf>
    <xf numFmtId="0" fontId="7" fillId="0" borderId="0" xfId="0" applyFont="1" applyAlignment="1">
      <alignment horizontal="left"/>
    </xf>
    <xf numFmtId="0" fontId="7" fillId="0" borderId="0" xfId="0" applyFont="1" applyAlignment="1">
      <alignment horizontal="center"/>
    </xf>
    <xf numFmtId="167" fontId="7" fillId="0" borderId="0" xfId="0" applyNumberFormat="1" applyFont="1" applyAlignment="1">
      <alignment horizontal="center"/>
    </xf>
    <xf numFmtId="167" fontId="7" fillId="0" borderId="0" xfId="0" applyNumberFormat="1" applyFont="1" applyAlignment="1">
      <alignment horizontal="left"/>
    </xf>
    <xf numFmtId="0" fontId="21" fillId="0" borderId="56" xfId="0" quotePrefix="1" applyFont="1" applyBorder="1" applyAlignment="1">
      <alignment horizontal="left" vertical="center" indent="4"/>
    </xf>
    <xf numFmtId="0" fontId="1" fillId="0" borderId="25" xfId="0" quotePrefix="1" applyFont="1" applyBorder="1" applyAlignment="1">
      <alignment horizontal="left" vertical="center"/>
    </xf>
    <xf numFmtId="0" fontId="21" fillId="0" borderId="52" xfId="0" quotePrefix="1" applyFont="1" applyBorder="1" applyAlignment="1">
      <alignment horizontal="left" vertical="center" indent="4"/>
    </xf>
    <xf numFmtId="0" fontId="21" fillId="0" borderId="58" xfId="0" quotePrefix="1" applyFont="1" applyBorder="1" applyAlignment="1">
      <alignment horizontal="left" vertical="center" indent="4"/>
    </xf>
    <xf numFmtId="9" fontId="9" fillId="0" borderId="42" xfId="3" quotePrefix="1" applyFont="1" applyFill="1" applyBorder="1" applyAlignment="1">
      <alignment horizontal="left" vertical="top" indent="2"/>
    </xf>
    <xf numFmtId="3" fontId="9" fillId="0" borderId="0" xfId="0" applyNumberFormat="1" applyFont="1" applyAlignment="1">
      <alignment horizontal="center"/>
    </xf>
    <xf numFmtId="0" fontId="1" fillId="0" borderId="42" xfId="0" applyFont="1" applyBorder="1" applyAlignment="1">
      <alignment vertical="center"/>
    </xf>
    <xf numFmtId="0" fontId="1" fillId="0" borderId="25" xfId="0" applyFont="1" applyBorder="1" applyAlignment="1">
      <alignment vertical="center"/>
    </xf>
    <xf numFmtId="3" fontId="16" fillId="0" borderId="0" xfId="0" applyNumberFormat="1" applyFont="1" applyAlignment="1">
      <alignment horizontal="center"/>
    </xf>
    <xf numFmtId="3" fontId="6" fillId="0" borderId="0" xfId="0" applyNumberFormat="1" applyFont="1" applyAlignment="1">
      <alignment horizontal="center"/>
    </xf>
    <xf numFmtId="0" fontId="6" fillId="0" borderId="0" xfId="0" applyFont="1" applyAlignment="1">
      <alignment horizontal="right"/>
    </xf>
    <xf numFmtId="17" fontId="9" fillId="2" borderId="11" xfId="0" applyNumberFormat="1" applyFont="1" applyFill="1" applyBorder="1" applyAlignment="1">
      <alignment horizontal="center" vertical="top"/>
    </xf>
    <xf numFmtId="3" fontId="15" fillId="0" borderId="13" xfId="5" quotePrefix="1" applyNumberFormat="1" applyFont="1" applyFill="1" applyBorder="1" applyAlignment="1">
      <alignment horizontal="center" vertical="top"/>
    </xf>
    <xf numFmtId="9" fontId="15" fillId="0" borderId="13" xfId="3" quotePrefix="1" applyFont="1" applyFill="1" applyBorder="1" applyAlignment="1">
      <alignment horizontal="center" vertical="top"/>
    </xf>
    <xf numFmtId="3" fontId="15" fillId="0" borderId="21" xfId="5" quotePrefix="1" applyNumberFormat="1" applyFont="1" applyFill="1" applyBorder="1" applyAlignment="1">
      <alignment horizontal="center" vertical="top"/>
    </xf>
    <xf numFmtId="17" fontId="15" fillId="2" borderId="15" xfId="0" applyNumberFormat="1" applyFont="1" applyFill="1" applyBorder="1" applyAlignment="1">
      <alignment horizontal="center" vertical="top"/>
    </xf>
    <xf numFmtId="17" fontId="3" fillId="0" borderId="44" xfId="0" applyNumberFormat="1" applyFont="1" applyBorder="1" applyAlignment="1">
      <alignment horizontal="center" vertical="center"/>
    </xf>
    <xf numFmtId="0" fontId="0" fillId="0" borderId="45" xfId="0" applyBorder="1" applyAlignment="1">
      <alignment horizontal="center" vertical="center"/>
    </xf>
    <xf numFmtId="17" fontId="3" fillId="0" borderId="29" xfId="0" applyNumberFormat="1" applyFont="1" applyBorder="1" applyAlignment="1">
      <alignment horizontal="center" vertical="center"/>
    </xf>
    <xf numFmtId="0" fontId="0" fillId="0" borderId="22" xfId="0" applyBorder="1" applyAlignment="1">
      <alignment horizontal="center" vertical="center"/>
    </xf>
    <xf numFmtId="17" fontId="3" fillId="0" borderId="47" xfId="0" applyNumberFormat="1" applyFont="1" applyBorder="1" applyAlignment="1">
      <alignment horizontal="center" vertical="center"/>
    </xf>
    <xf numFmtId="0" fontId="0" fillId="0" borderId="48" xfId="0" applyBorder="1" applyAlignment="1">
      <alignment horizontal="center" vertical="center"/>
    </xf>
    <xf numFmtId="17" fontId="18" fillId="0" borderId="44" xfId="0" applyNumberFormat="1" applyFont="1" applyBorder="1" applyAlignment="1">
      <alignment horizontal="center" vertical="center"/>
    </xf>
    <xf numFmtId="0" fontId="13" fillId="0" borderId="45" xfId="0" applyFont="1" applyBorder="1" applyAlignment="1">
      <alignment horizontal="center" vertical="center"/>
    </xf>
    <xf numFmtId="17" fontId="3" fillId="0" borderId="22" xfId="0" applyNumberFormat="1" applyFont="1" applyBorder="1" applyAlignment="1">
      <alignment horizontal="center" vertical="center"/>
    </xf>
    <xf numFmtId="17" fontId="3" fillId="0" borderId="29" xfId="0" applyNumberFormat="1" applyFont="1" applyBorder="1" applyAlignment="1">
      <alignment horizontal="center" vertical="center" wrapText="1"/>
    </xf>
    <xf numFmtId="0" fontId="0" fillId="0" borderId="22" xfId="0" applyBorder="1" applyAlignment="1">
      <alignment horizontal="center" vertical="center" wrapText="1"/>
    </xf>
    <xf numFmtId="17" fontId="3" fillId="0" borderId="11" xfId="0" applyNumberFormat="1" applyFont="1" applyBorder="1" applyAlignment="1">
      <alignment horizontal="center" vertical="center" wrapText="1"/>
    </xf>
    <xf numFmtId="0" fontId="0" fillId="0" borderId="30" xfId="0" applyBorder="1" applyAlignment="1">
      <alignment horizontal="center" vertical="center" wrapText="1"/>
    </xf>
  </cellXfs>
  <cellStyles count="6">
    <cellStyle name="Comma" xfId="5" builtinId="3"/>
    <cellStyle name="Currency" xfId="2" builtinId="4"/>
    <cellStyle name="Currency 2" xfId="4" xr:uid="{00000000-0005-0000-0000-000002000000}"/>
    <cellStyle name="Normal" xfId="0" builtinId="0"/>
    <cellStyle name="Normal 2" xfId="1"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dimension ref="A1:AQ117"/>
  <sheetViews>
    <sheetView view="pageBreakPreview" zoomScale="85" zoomScaleNormal="90" zoomScaleSheetLayoutView="85" workbookViewId="0">
      <pane xSplit="1" ySplit="6" topLeftCell="B10" activePane="bottomRight" state="frozen"/>
      <selection pane="topRight" activeCell="B1" sqref="B1"/>
      <selection pane="bottomLeft" activeCell="A8" sqref="A8"/>
      <selection pane="bottomRight" activeCell="B38" sqref="B38"/>
    </sheetView>
  </sheetViews>
  <sheetFormatPr defaultColWidth="9.140625" defaultRowHeight="15" x14ac:dyDescent="0.25"/>
  <cols>
    <col min="1" max="1" width="71.5703125" customWidth="1"/>
    <col min="2" max="37" width="14.5703125" style="2" customWidth="1"/>
    <col min="40" max="40" width="6" bestFit="1" customWidth="1"/>
    <col min="42" max="42" width="6" bestFit="1" customWidth="1"/>
    <col min="45" max="45" width="28.28515625" bestFit="1" customWidth="1"/>
  </cols>
  <sheetData>
    <row r="1" spans="1:37" ht="18.75" x14ac:dyDescent="0.3">
      <c r="A1" s="1" t="s">
        <v>12</v>
      </c>
    </row>
    <row r="2" spans="1:37" s="4" customFormat="1" ht="18.75" x14ac:dyDescent="0.3">
      <c r="A2" s="20" t="s">
        <v>19</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ht="16.5" thickBot="1" x14ac:dyDescent="0.3">
      <c r="A3" s="31" t="s">
        <v>65</v>
      </c>
    </row>
    <row r="4" spans="1:37" ht="15.75" thickBot="1" x14ac:dyDescent="0.3"/>
    <row r="5" spans="1:37" ht="15" customHeight="1" x14ac:dyDescent="0.25">
      <c r="A5" s="33" t="s">
        <v>13</v>
      </c>
      <c r="B5" s="267">
        <v>41000</v>
      </c>
      <c r="C5" s="267">
        <v>41030</v>
      </c>
      <c r="D5" s="267">
        <v>41061</v>
      </c>
      <c r="E5" s="267">
        <v>41091</v>
      </c>
      <c r="F5" s="267">
        <v>41122</v>
      </c>
      <c r="G5" s="267">
        <v>41153</v>
      </c>
      <c r="H5" s="267">
        <v>41183</v>
      </c>
      <c r="I5" s="267">
        <v>41214</v>
      </c>
      <c r="J5" s="267">
        <v>41244</v>
      </c>
      <c r="K5" s="267">
        <v>41275</v>
      </c>
      <c r="L5" s="267">
        <v>41306</v>
      </c>
      <c r="M5" s="267">
        <v>41334</v>
      </c>
      <c r="N5" s="267">
        <v>41365</v>
      </c>
      <c r="O5" s="267">
        <v>41395</v>
      </c>
      <c r="P5" s="267">
        <v>41426</v>
      </c>
      <c r="Q5" s="267">
        <v>41456</v>
      </c>
      <c r="R5" s="267">
        <v>41487</v>
      </c>
      <c r="S5" s="267">
        <v>41518</v>
      </c>
      <c r="T5" s="267">
        <v>41548</v>
      </c>
      <c r="U5" s="267">
        <v>41579</v>
      </c>
      <c r="V5" s="267">
        <v>41609</v>
      </c>
      <c r="W5" s="267">
        <v>41640</v>
      </c>
      <c r="X5" s="267">
        <v>41671</v>
      </c>
      <c r="Y5" s="267">
        <v>41699</v>
      </c>
      <c r="Z5" s="267">
        <v>41730</v>
      </c>
      <c r="AA5" s="267">
        <v>41760</v>
      </c>
      <c r="AB5" s="267">
        <v>41791</v>
      </c>
      <c r="AC5" s="267">
        <v>41821</v>
      </c>
      <c r="AD5" s="267">
        <v>41852</v>
      </c>
      <c r="AE5" s="267">
        <v>41883</v>
      </c>
      <c r="AF5" s="267">
        <v>41913</v>
      </c>
      <c r="AG5" s="267">
        <v>41944</v>
      </c>
      <c r="AH5" s="267">
        <v>41974</v>
      </c>
      <c r="AI5" s="267">
        <v>42005</v>
      </c>
      <c r="AJ5" s="267">
        <v>42036</v>
      </c>
      <c r="AK5" s="269">
        <v>42064</v>
      </c>
    </row>
    <row r="6" spans="1:37" ht="15.75" thickBot="1" x14ac:dyDescent="0.3">
      <c r="A6" s="34"/>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68"/>
      <c r="AH6" s="268"/>
      <c r="AI6" s="268"/>
      <c r="AJ6" s="268"/>
      <c r="AK6" s="270"/>
    </row>
    <row r="7" spans="1:37" ht="15.75" x14ac:dyDescent="0.25">
      <c r="A7" s="21" t="s">
        <v>20</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29"/>
      <c r="AG7" s="30"/>
      <c r="AH7" s="9"/>
      <c r="AI7" s="9"/>
      <c r="AJ7" s="9"/>
      <c r="AK7" s="10"/>
    </row>
    <row r="8" spans="1:37" ht="15.75" x14ac:dyDescent="0.25">
      <c r="A8" s="7" t="s">
        <v>23</v>
      </c>
      <c r="B8" s="39">
        <v>24002</v>
      </c>
      <c r="C8" s="39">
        <v>24802</v>
      </c>
      <c r="D8" s="39">
        <v>22079</v>
      </c>
      <c r="E8" s="39">
        <v>23559</v>
      </c>
      <c r="F8" s="39">
        <v>23774</v>
      </c>
      <c r="G8" s="39">
        <v>21720</v>
      </c>
      <c r="H8" s="39">
        <v>23347</v>
      </c>
      <c r="I8" s="39">
        <v>24707</v>
      </c>
      <c r="J8" s="39">
        <v>19724</v>
      </c>
      <c r="K8" s="39">
        <v>25181</v>
      </c>
      <c r="L8" s="39">
        <v>19745</v>
      </c>
      <c r="M8" s="39">
        <v>19301</v>
      </c>
      <c r="N8" s="39">
        <v>22674</v>
      </c>
      <c r="O8" s="39">
        <v>21867</v>
      </c>
      <c r="P8" s="39">
        <v>18484</v>
      </c>
      <c r="Q8" s="39">
        <v>20613</v>
      </c>
      <c r="R8" s="39">
        <v>19155</v>
      </c>
      <c r="S8" s="39">
        <v>19811</v>
      </c>
      <c r="T8" s="39">
        <v>20399</v>
      </c>
      <c r="U8" s="39">
        <v>20340</v>
      </c>
      <c r="V8" s="39">
        <v>17919</v>
      </c>
      <c r="W8" s="39">
        <v>23998</v>
      </c>
      <c r="X8" s="39">
        <v>19651</v>
      </c>
      <c r="Y8" s="39">
        <v>20039</v>
      </c>
      <c r="Z8" s="39">
        <v>20991</v>
      </c>
      <c r="AA8" s="39">
        <v>20788</v>
      </c>
      <c r="AB8" s="39">
        <v>18911</v>
      </c>
      <c r="AC8" s="39">
        <v>19614</v>
      </c>
      <c r="AD8" s="39">
        <v>17848</v>
      </c>
      <c r="AE8" s="39">
        <v>19273</v>
      </c>
      <c r="AF8" s="159">
        <v>16795</v>
      </c>
      <c r="AG8" s="41">
        <v>14128</v>
      </c>
      <c r="AH8" s="42">
        <v>18599</v>
      </c>
      <c r="AI8" s="42">
        <v>21787</v>
      </c>
      <c r="AJ8" s="42">
        <v>18213</v>
      </c>
      <c r="AK8" s="43">
        <v>18884</v>
      </c>
    </row>
    <row r="9" spans="1:37" s="166" customFormat="1" ht="15.75" x14ac:dyDescent="0.25">
      <c r="A9" s="160" t="s">
        <v>52</v>
      </c>
      <c r="B9" s="161">
        <v>4</v>
      </c>
      <c r="C9" s="161">
        <v>5</v>
      </c>
      <c r="D9" s="161">
        <v>5</v>
      </c>
      <c r="E9" s="161">
        <v>5</v>
      </c>
      <c r="F9" s="161">
        <v>5</v>
      </c>
      <c r="G9" s="161">
        <v>5</v>
      </c>
      <c r="H9" s="161">
        <v>5</v>
      </c>
      <c r="I9" s="161">
        <v>4</v>
      </c>
      <c r="J9" s="161">
        <v>4</v>
      </c>
      <c r="K9" s="161">
        <v>4</v>
      </c>
      <c r="L9" s="161">
        <v>5</v>
      </c>
      <c r="M9" s="161">
        <v>5</v>
      </c>
      <c r="N9" s="161">
        <v>4</v>
      </c>
      <c r="O9" s="161">
        <v>5</v>
      </c>
      <c r="P9" s="161">
        <v>5</v>
      </c>
      <c r="Q9" s="161">
        <v>5</v>
      </c>
      <c r="R9" s="161">
        <v>5</v>
      </c>
      <c r="S9" s="161">
        <v>5</v>
      </c>
      <c r="T9" s="161">
        <v>5</v>
      </c>
      <c r="U9" s="161">
        <v>5</v>
      </c>
      <c r="V9" s="161">
        <v>5</v>
      </c>
      <c r="W9" s="161">
        <v>5</v>
      </c>
      <c r="X9" s="161">
        <v>5</v>
      </c>
      <c r="Y9" s="161">
        <v>5</v>
      </c>
      <c r="Z9" s="161">
        <v>5</v>
      </c>
      <c r="AA9" s="161">
        <v>5</v>
      </c>
      <c r="AB9" s="161">
        <v>5</v>
      </c>
      <c r="AC9" s="161">
        <v>5</v>
      </c>
      <c r="AD9" s="161">
        <v>5</v>
      </c>
      <c r="AE9" s="161">
        <v>5</v>
      </c>
      <c r="AF9" s="162">
        <v>5</v>
      </c>
      <c r="AG9" s="163">
        <v>6</v>
      </c>
      <c r="AH9" s="164">
        <v>7</v>
      </c>
      <c r="AI9" s="164">
        <v>7</v>
      </c>
      <c r="AJ9" s="164">
        <v>7</v>
      </c>
      <c r="AK9" s="165">
        <v>7</v>
      </c>
    </row>
    <row r="10" spans="1:37" s="166" customFormat="1" ht="15.75" x14ac:dyDescent="0.25">
      <c r="A10" s="167" t="s">
        <v>40</v>
      </c>
      <c r="B10" s="161">
        <v>3</v>
      </c>
      <c r="C10" s="161">
        <v>4</v>
      </c>
      <c r="D10" s="161">
        <v>4</v>
      </c>
      <c r="E10" s="161">
        <v>4</v>
      </c>
      <c r="F10" s="161">
        <v>4</v>
      </c>
      <c r="G10" s="161">
        <v>4</v>
      </c>
      <c r="H10" s="161">
        <v>3</v>
      </c>
      <c r="I10" s="161">
        <v>3</v>
      </c>
      <c r="J10" s="161">
        <v>4</v>
      </c>
      <c r="K10" s="161">
        <v>3</v>
      </c>
      <c r="L10" s="161">
        <v>4</v>
      </c>
      <c r="M10" s="161">
        <v>3</v>
      </c>
      <c r="N10" s="161">
        <v>3</v>
      </c>
      <c r="O10" s="161">
        <v>4</v>
      </c>
      <c r="P10" s="161">
        <v>4</v>
      </c>
      <c r="Q10" s="161">
        <v>4</v>
      </c>
      <c r="R10" s="161">
        <v>4</v>
      </c>
      <c r="S10" s="161">
        <v>4</v>
      </c>
      <c r="T10" s="161">
        <v>3</v>
      </c>
      <c r="U10" s="161">
        <v>3</v>
      </c>
      <c r="V10" s="161">
        <v>4</v>
      </c>
      <c r="W10" s="161">
        <v>4</v>
      </c>
      <c r="X10" s="161">
        <v>4</v>
      </c>
      <c r="Y10" s="161">
        <v>4</v>
      </c>
      <c r="Z10" s="161">
        <v>3</v>
      </c>
      <c r="AA10" s="161">
        <v>4</v>
      </c>
      <c r="AB10" s="161">
        <v>4</v>
      </c>
      <c r="AC10" s="161">
        <v>3</v>
      </c>
      <c r="AD10" s="161">
        <v>4</v>
      </c>
      <c r="AE10" s="161">
        <v>4</v>
      </c>
      <c r="AF10" s="162">
        <v>3</v>
      </c>
      <c r="AG10" s="163">
        <v>3</v>
      </c>
      <c r="AH10" s="164">
        <v>4</v>
      </c>
      <c r="AI10" s="164">
        <v>5</v>
      </c>
      <c r="AJ10" s="164">
        <v>5</v>
      </c>
      <c r="AK10" s="165">
        <v>5</v>
      </c>
    </row>
    <row r="11" spans="1:37" s="166" customFormat="1" ht="15.75" x14ac:dyDescent="0.25">
      <c r="A11" s="167" t="s">
        <v>41</v>
      </c>
      <c r="B11" s="161">
        <v>1</v>
      </c>
      <c r="C11" s="161">
        <v>0</v>
      </c>
      <c r="D11" s="161">
        <v>1</v>
      </c>
      <c r="E11" s="161">
        <v>1</v>
      </c>
      <c r="F11" s="161">
        <v>1</v>
      </c>
      <c r="G11" s="161">
        <v>1</v>
      </c>
      <c r="H11" s="161">
        <v>1</v>
      </c>
      <c r="I11" s="161">
        <v>1</v>
      </c>
      <c r="J11" s="161">
        <v>1</v>
      </c>
      <c r="K11" s="161">
        <v>1</v>
      </c>
      <c r="L11" s="161">
        <v>1</v>
      </c>
      <c r="M11" s="161">
        <v>1</v>
      </c>
      <c r="N11" s="161">
        <v>1</v>
      </c>
      <c r="O11" s="161">
        <v>1</v>
      </c>
      <c r="P11" s="161">
        <v>1</v>
      </c>
      <c r="Q11" s="161">
        <v>1</v>
      </c>
      <c r="R11" s="161">
        <v>1</v>
      </c>
      <c r="S11" s="161">
        <v>1</v>
      </c>
      <c r="T11" s="161">
        <v>1</v>
      </c>
      <c r="U11" s="161">
        <v>1</v>
      </c>
      <c r="V11" s="161">
        <v>1</v>
      </c>
      <c r="W11" s="161">
        <v>1</v>
      </c>
      <c r="X11" s="161">
        <v>1</v>
      </c>
      <c r="Y11" s="161">
        <v>1</v>
      </c>
      <c r="Z11" s="161">
        <v>1</v>
      </c>
      <c r="AA11" s="161">
        <v>1</v>
      </c>
      <c r="AB11" s="161">
        <v>1</v>
      </c>
      <c r="AC11" s="161">
        <v>1</v>
      </c>
      <c r="AD11" s="161">
        <v>1</v>
      </c>
      <c r="AE11" s="161">
        <v>1</v>
      </c>
      <c r="AF11" s="162">
        <v>1</v>
      </c>
      <c r="AG11" s="163">
        <v>3</v>
      </c>
      <c r="AH11" s="164">
        <v>2</v>
      </c>
      <c r="AI11" s="164">
        <v>2</v>
      </c>
      <c r="AJ11" s="164">
        <v>2</v>
      </c>
      <c r="AK11" s="165">
        <v>1</v>
      </c>
    </row>
    <row r="12" spans="1:37" ht="15.75" x14ac:dyDescent="0.25">
      <c r="A12" s="7" t="s">
        <v>24</v>
      </c>
      <c r="B12" s="39">
        <v>14067</v>
      </c>
      <c r="C12" s="39">
        <v>17789</v>
      </c>
      <c r="D12" s="39">
        <v>14412</v>
      </c>
      <c r="E12" s="39">
        <v>14465</v>
      </c>
      <c r="F12" s="39">
        <v>15615</v>
      </c>
      <c r="G12" s="39">
        <v>13634</v>
      </c>
      <c r="H12" s="39">
        <v>15072</v>
      </c>
      <c r="I12" s="39">
        <v>15666</v>
      </c>
      <c r="J12" s="39">
        <v>14171</v>
      </c>
      <c r="K12" s="39">
        <v>16341</v>
      </c>
      <c r="L12" s="39">
        <v>13591</v>
      </c>
      <c r="M12" s="39">
        <v>13425</v>
      </c>
      <c r="N12" s="39">
        <v>14452</v>
      </c>
      <c r="O12" s="39">
        <v>16091</v>
      </c>
      <c r="P12" s="39">
        <v>13081</v>
      </c>
      <c r="Q12" s="39">
        <v>13718</v>
      </c>
      <c r="R12" s="39">
        <v>13075</v>
      </c>
      <c r="S12" s="39">
        <v>13276</v>
      </c>
      <c r="T12" s="39">
        <v>14529</v>
      </c>
      <c r="U12" s="39">
        <v>13924</v>
      </c>
      <c r="V12" s="39">
        <v>13583</v>
      </c>
      <c r="W12" s="39">
        <v>15460</v>
      </c>
      <c r="X12" s="39">
        <v>13511</v>
      </c>
      <c r="Y12" s="39">
        <v>13818</v>
      </c>
      <c r="Z12" s="39">
        <v>13573</v>
      </c>
      <c r="AA12" s="39">
        <v>15527</v>
      </c>
      <c r="AB12" s="39">
        <v>13451</v>
      </c>
      <c r="AC12" s="39">
        <v>13284</v>
      </c>
      <c r="AD12" s="39">
        <v>12061</v>
      </c>
      <c r="AE12" s="39">
        <v>12716</v>
      </c>
      <c r="AF12" s="40">
        <v>13701</v>
      </c>
      <c r="AG12" s="41">
        <v>5757</v>
      </c>
      <c r="AH12" s="42">
        <v>12838</v>
      </c>
      <c r="AI12" s="42">
        <v>14778</v>
      </c>
      <c r="AJ12" s="42">
        <v>12908</v>
      </c>
      <c r="AK12" s="43">
        <v>13216</v>
      </c>
    </row>
    <row r="13" spans="1:37" ht="15.75" x14ac:dyDescent="0.25">
      <c r="A13" s="7" t="s">
        <v>25</v>
      </c>
      <c r="B13" s="39">
        <v>9096</v>
      </c>
      <c r="C13" s="39">
        <v>10663</v>
      </c>
      <c r="D13" s="39">
        <v>8929</v>
      </c>
      <c r="E13" s="39">
        <v>9111</v>
      </c>
      <c r="F13" s="39">
        <v>9250</v>
      </c>
      <c r="G13" s="39">
        <v>8435</v>
      </c>
      <c r="H13" s="39">
        <v>9539</v>
      </c>
      <c r="I13" s="39">
        <v>10236</v>
      </c>
      <c r="J13" s="39">
        <v>8811</v>
      </c>
      <c r="K13" s="39">
        <v>10366</v>
      </c>
      <c r="L13" s="39">
        <v>8138</v>
      </c>
      <c r="M13" s="39">
        <v>8260</v>
      </c>
      <c r="N13" s="39">
        <v>9010</v>
      </c>
      <c r="O13" s="39">
        <v>8979</v>
      </c>
      <c r="P13" s="39">
        <v>7789</v>
      </c>
      <c r="Q13" s="39">
        <v>8645</v>
      </c>
      <c r="R13" s="39">
        <v>7714</v>
      </c>
      <c r="S13" s="39">
        <v>7698</v>
      </c>
      <c r="T13" s="39">
        <v>8977</v>
      </c>
      <c r="U13" s="39">
        <v>8894</v>
      </c>
      <c r="V13" s="39">
        <v>8216</v>
      </c>
      <c r="W13" s="39">
        <v>9678</v>
      </c>
      <c r="X13" s="39">
        <v>7545</v>
      </c>
      <c r="Y13" s="39">
        <v>7989</v>
      </c>
      <c r="Z13" s="39">
        <v>8446</v>
      </c>
      <c r="AA13" s="39">
        <v>8600</v>
      </c>
      <c r="AB13" s="39">
        <v>8294</v>
      </c>
      <c r="AC13" s="39">
        <v>8210</v>
      </c>
      <c r="AD13" s="39">
        <v>7423</v>
      </c>
      <c r="AE13" s="39">
        <v>7717</v>
      </c>
      <c r="AF13" s="40">
        <v>8557</v>
      </c>
      <c r="AG13" s="41">
        <v>4582</v>
      </c>
      <c r="AH13" s="42">
        <v>7408</v>
      </c>
      <c r="AI13" s="42">
        <v>8061</v>
      </c>
      <c r="AJ13" s="42">
        <v>7086</v>
      </c>
      <c r="AK13" s="43">
        <v>7347</v>
      </c>
    </row>
    <row r="14" spans="1:37" s="6" customFormat="1" ht="15.75" x14ac:dyDescent="0.25">
      <c r="A14" s="27" t="s">
        <v>21</v>
      </c>
      <c r="B14" s="44">
        <f t="shared" ref="B14:AD14" si="0">B13/B12</f>
        <v>0.6466197483471956</v>
      </c>
      <c r="C14" s="44">
        <f t="shared" si="0"/>
        <v>0.59941536904828829</v>
      </c>
      <c r="D14" s="44">
        <f t="shared" si="0"/>
        <v>0.61955315015265056</v>
      </c>
      <c r="E14" s="44">
        <f t="shared" si="0"/>
        <v>0.6298651918423781</v>
      </c>
      <c r="F14" s="44">
        <f t="shared" si="0"/>
        <v>0.59237912263848869</v>
      </c>
      <c r="G14" s="44">
        <f t="shared" si="0"/>
        <v>0.61867390347660256</v>
      </c>
      <c r="H14" s="44">
        <f t="shared" si="0"/>
        <v>0.63289543524416136</v>
      </c>
      <c r="I14" s="44">
        <f t="shared" si="0"/>
        <v>0.65338950593642287</v>
      </c>
      <c r="J14" s="44">
        <f t="shared" si="0"/>
        <v>0.62176275492202382</v>
      </c>
      <c r="K14" s="44">
        <f t="shared" si="0"/>
        <v>0.63435530261305917</v>
      </c>
      <c r="L14" s="44">
        <f t="shared" si="0"/>
        <v>0.59877860348760203</v>
      </c>
      <c r="M14" s="44">
        <f t="shared" si="0"/>
        <v>0.61527001862197395</v>
      </c>
      <c r="N14" s="44">
        <f t="shared" si="0"/>
        <v>0.62344312205923058</v>
      </c>
      <c r="O14" s="44">
        <f t="shared" si="0"/>
        <v>0.55801379653222294</v>
      </c>
      <c r="P14" s="44">
        <f t="shared" si="0"/>
        <v>0.59544377341181864</v>
      </c>
      <c r="Q14" s="44">
        <f t="shared" si="0"/>
        <v>0.63019390581717449</v>
      </c>
      <c r="R14" s="44">
        <f t="shared" si="0"/>
        <v>0.589980879541109</v>
      </c>
      <c r="S14" s="44">
        <f t="shared" si="0"/>
        <v>0.57984332630310331</v>
      </c>
      <c r="T14" s="44">
        <f t="shared" si="0"/>
        <v>0.61786771285016173</v>
      </c>
      <c r="U14" s="44">
        <f t="shared" si="0"/>
        <v>0.63875323182993393</v>
      </c>
      <c r="V14" s="44">
        <f t="shared" si="0"/>
        <v>0.60487373923286458</v>
      </c>
      <c r="W14" s="44">
        <f t="shared" si="0"/>
        <v>0.62600258732212155</v>
      </c>
      <c r="X14" s="44">
        <f t="shared" si="0"/>
        <v>0.55843386869957812</v>
      </c>
      <c r="Y14" s="44">
        <f t="shared" si="0"/>
        <v>0.57815892314372552</v>
      </c>
      <c r="Z14" s="44">
        <f t="shared" si="0"/>
        <v>0.62226479039269134</v>
      </c>
      <c r="AA14" s="44">
        <f t="shared" si="0"/>
        <v>0.55387389708250145</v>
      </c>
      <c r="AB14" s="44">
        <f t="shared" si="0"/>
        <v>0.6166084305999554</v>
      </c>
      <c r="AC14" s="44">
        <f t="shared" si="0"/>
        <v>0.61803673592291475</v>
      </c>
      <c r="AD14" s="44">
        <f t="shared" si="0"/>
        <v>0.61545477157781281</v>
      </c>
      <c r="AE14" s="44">
        <f>AE13/AE12</f>
        <v>0.60687323057565268</v>
      </c>
      <c r="AF14" s="45">
        <f>AF13/AF12</f>
        <v>0.62455295233924535</v>
      </c>
      <c r="AG14" s="46">
        <v>0.8</v>
      </c>
      <c r="AH14" s="44">
        <v>0.57999999999999996</v>
      </c>
      <c r="AI14" s="44">
        <v>0.55000000000000004</v>
      </c>
      <c r="AJ14" s="44">
        <v>0.55000000000000004</v>
      </c>
      <c r="AK14" s="47">
        <v>0.56000000000000005</v>
      </c>
    </row>
    <row r="15" spans="1:37" ht="16.5" thickBot="1" x14ac:dyDescent="0.3">
      <c r="A15" s="7" t="s">
        <v>22</v>
      </c>
      <c r="B15" s="42">
        <v>7150</v>
      </c>
      <c r="C15" s="42">
        <v>7427</v>
      </c>
      <c r="D15" s="42">
        <v>7142</v>
      </c>
      <c r="E15" s="42">
        <v>7583</v>
      </c>
      <c r="F15" s="42">
        <v>7697</v>
      </c>
      <c r="G15" s="42">
        <v>7110</v>
      </c>
      <c r="H15" s="42">
        <v>7651</v>
      </c>
      <c r="I15" s="42">
        <v>7603</v>
      </c>
      <c r="J15" s="42">
        <v>6078</v>
      </c>
      <c r="K15" s="42">
        <v>6537</v>
      </c>
      <c r="L15" s="42">
        <v>5366</v>
      </c>
      <c r="M15" s="42">
        <v>5711</v>
      </c>
      <c r="N15" s="42">
        <v>5519</v>
      </c>
      <c r="O15" s="42">
        <v>6016</v>
      </c>
      <c r="P15" s="42">
        <v>5085</v>
      </c>
      <c r="Q15" s="42">
        <v>5454</v>
      </c>
      <c r="R15" s="42">
        <v>5144</v>
      </c>
      <c r="S15" s="42">
        <v>5155</v>
      </c>
      <c r="T15" s="42">
        <v>5434</v>
      </c>
      <c r="U15" s="42">
        <v>5090</v>
      </c>
      <c r="V15" s="42">
        <v>4717</v>
      </c>
      <c r="W15" s="42">
        <v>5739</v>
      </c>
      <c r="X15" s="42">
        <v>5389</v>
      </c>
      <c r="Y15" s="42">
        <v>5752</v>
      </c>
      <c r="Z15" s="42">
        <v>5293</v>
      </c>
      <c r="AA15" s="42">
        <v>5424</v>
      </c>
      <c r="AB15" s="42">
        <v>5337</v>
      </c>
      <c r="AC15" s="42">
        <v>5275</v>
      </c>
      <c r="AD15" s="42">
        <v>4809</v>
      </c>
      <c r="AE15" s="42">
        <v>5366</v>
      </c>
      <c r="AF15" s="48">
        <v>5469</v>
      </c>
      <c r="AG15" s="49">
        <v>1437</v>
      </c>
      <c r="AH15" s="42">
        <v>3942</v>
      </c>
      <c r="AI15" s="42">
        <v>4952</v>
      </c>
      <c r="AJ15" s="42">
        <v>4592</v>
      </c>
      <c r="AK15" s="43">
        <v>5166</v>
      </c>
    </row>
    <row r="16" spans="1:37" ht="15.75" x14ac:dyDescent="0.25">
      <c r="A16" s="21" t="s">
        <v>26</v>
      </c>
      <c r="B16" s="50"/>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1"/>
      <c r="AG16" s="52"/>
      <c r="AH16" s="50"/>
      <c r="AI16" s="50"/>
      <c r="AJ16" s="50"/>
      <c r="AK16" s="53"/>
    </row>
    <row r="17" spans="1:37" ht="15.75" x14ac:dyDescent="0.25">
      <c r="A17" s="7" t="s">
        <v>38</v>
      </c>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5"/>
      <c r="AG17" s="56">
        <v>327216</v>
      </c>
      <c r="AH17" s="54">
        <v>333911</v>
      </c>
      <c r="AI17" s="54">
        <v>338334</v>
      </c>
      <c r="AJ17" s="54">
        <v>343997</v>
      </c>
      <c r="AK17" s="57">
        <v>347684</v>
      </c>
    </row>
    <row r="18" spans="1:37" ht="15.75" x14ac:dyDescent="0.25">
      <c r="A18" s="11" t="s">
        <v>39</v>
      </c>
      <c r="B18" s="58"/>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9"/>
      <c r="AG18" s="56">
        <v>265898</v>
      </c>
      <c r="AH18" s="54">
        <v>272259</v>
      </c>
      <c r="AI18" s="54">
        <v>277250</v>
      </c>
      <c r="AJ18" s="54">
        <v>282275</v>
      </c>
      <c r="AK18" s="57">
        <v>285364</v>
      </c>
    </row>
    <row r="19" spans="1:37" ht="15.75" x14ac:dyDescent="0.25">
      <c r="A19" s="11" t="s">
        <v>43</v>
      </c>
      <c r="B19" s="58">
        <v>32241</v>
      </c>
      <c r="C19" s="58">
        <v>32379</v>
      </c>
      <c r="D19" s="58">
        <v>32402</v>
      </c>
      <c r="E19" s="58">
        <v>32410</v>
      </c>
      <c r="F19" s="58">
        <v>32642</v>
      </c>
      <c r="G19" s="58">
        <v>32664</v>
      </c>
      <c r="H19" s="58">
        <v>32901</v>
      </c>
      <c r="I19" s="58">
        <v>33019</v>
      </c>
      <c r="J19" s="58">
        <v>32803</v>
      </c>
      <c r="K19" s="58">
        <v>33044</v>
      </c>
      <c r="L19" s="58">
        <v>33114</v>
      </c>
      <c r="M19" s="58">
        <v>33216</v>
      </c>
      <c r="N19" s="58">
        <v>33186</v>
      </c>
      <c r="O19" s="58">
        <v>33303</v>
      </c>
      <c r="P19" s="58">
        <v>33268</v>
      </c>
      <c r="Q19" s="58">
        <v>33454</v>
      </c>
      <c r="R19" s="58">
        <v>33497</v>
      </c>
      <c r="S19" s="58">
        <v>33466</v>
      </c>
      <c r="T19" s="58">
        <v>33685</v>
      </c>
      <c r="U19" s="58">
        <v>33735</v>
      </c>
      <c r="V19" s="58">
        <v>33762</v>
      </c>
      <c r="W19" s="58">
        <v>33813</v>
      </c>
      <c r="X19" s="58">
        <v>33773</v>
      </c>
      <c r="Y19" s="58">
        <v>33892</v>
      </c>
      <c r="Z19" s="58">
        <v>33981</v>
      </c>
      <c r="AA19" s="58">
        <v>34059</v>
      </c>
      <c r="AB19" s="58">
        <v>34011</v>
      </c>
      <c r="AC19" s="58">
        <v>34163</v>
      </c>
      <c r="AD19" s="58">
        <v>34114</v>
      </c>
      <c r="AE19" s="58">
        <v>34232</v>
      </c>
      <c r="AF19" s="59">
        <v>34459</v>
      </c>
      <c r="AG19" s="60">
        <v>43297</v>
      </c>
      <c r="AH19" s="58">
        <v>43392</v>
      </c>
      <c r="AI19" s="58">
        <v>42798</v>
      </c>
      <c r="AJ19" s="54">
        <v>43311</v>
      </c>
      <c r="AK19" s="61">
        <v>43609</v>
      </c>
    </row>
    <row r="20" spans="1:37" ht="15.75" x14ac:dyDescent="0.25">
      <c r="A20" s="11" t="s">
        <v>44</v>
      </c>
      <c r="B20" s="58">
        <v>15431</v>
      </c>
      <c r="C20" s="58">
        <v>15626</v>
      </c>
      <c r="D20" s="58">
        <v>15788</v>
      </c>
      <c r="E20" s="58">
        <v>15916</v>
      </c>
      <c r="F20" s="58">
        <v>16112</v>
      </c>
      <c r="G20" s="58">
        <v>15838</v>
      </c>
      <c r="H20" s="58">
        <v>15708</v>
      </c>
      <c r="I20" s="58">
        <v>15756</v>
      </c>
      <c r="J20" s="58">
        <v>15907</v>
      </c>
      <c r="K20" s="58">
        <v>15997</v>
      </c>
      <c r="L20" s="58">
        <v>16145</v>
      </c>
      <c r="M20" s="58">
        <v>16330</v>
      </c>
      <c r="N20" s="58">
        <v>16501</v>
      </c>
      <c r="O20" s="58">
        <v>16752</v>
      </c>
      <c r="P20" s="58">
        <v>16906</v>
      </c>
      <c r="Q20" s="58">
        <v>17015</v>
      </c>
      <c r="R20" s="58">
        <v>17150</v>
      </c>
      <c r="S20" s="58">
        <v>16800</v>
      </c>
      <c r="T20" s="58">
        <v>16657</v>
      </c>
      <c r="U20" s="58">
        <v>16660</v>
      </c>
      <c r="V20" s="58">
        <v>16742</v>
      </c>
      <c r="W20" s="58">
        <v>16815</v>
      </c>
      <c r="X20" s="58">
        <v>16870</v>
      </c>
      <c r="Y20" s="58">
        <v>17038</v>
      </c>
      <c r="Z20" s="58">
        <v>17209</v>
      </c>
      <c r="AA20" s="58">
        <v>17508</v>
      </c>
      <c r="AB20" s="58">
        <v>17608</v>
      </c>
      <c r="AC20" s="58">
        <v>17723</v>
      </c>
      <c r="AD20" s="58">
        <v>17833</v>
      </c>
      <c r="AE20" s="58">
        <v>17417</v>
      </c>
      <c r="AF20" s="59">
        <v>17288</v>
      </c>
      <c r="AG20" s="60">
        <v>17374</v>
      </c>
      <c r="AH20" s="58">
        <v>17586</v>
      </c>
      <c r="AI20" s="58">
        <v>17715</v>
      </c>
      <c r="AJ20" s="58">
        <v>17899</v>
      </c>
      <c r="AK20" s="61">
        <v>18205</v>
      </c>
    </row>
    <row r="21" spans="1:37" ht="15.75" x14ac:dyDescent="0.25">
      <c r="A21" s="7" t="s">
        <v>27</v>
      </c>
      <c r="B21" s="58">
        <f>SUM(B23:B25)</f>
        <v>257801</v>
      </c>
      <c r="C21" s="58">
        <f t="shared" ref="C21:AK21" si="1">SUM(C23:C25)</f>
        <v>260916</v>
      </c>
      <c r="D21" s="58">
        <f t="shared" si="1"/>
        <v>259068</v>
      </c>
      <c r="E21" s="58">
        <f t="shared" si="1"/>
        <v>258564</v>
      </c>
      <c r="F21" s="58">
        <f t="shared" si="1"/>
        <v>257314</v>
      </c>
      <c r="G21" s="58">
        <f t="shared" si="1"/>
        <v>255599</v>
      </c>
      <c r="H21" s="58">
        <f t="shared" si="1"/>
        <v>251850</v>
      </c>
      <c r="I21" s="58">
        <f t="shared" si="1"/>
        <v>248715</v>
      </c>
      <c r="J21" s="58">
        <f t="shared" si="1"/>
        <v>232949</v>
      </c>
      <c r="K21" s="58">
        <f t="shared" si="1"/>
        <v>250370</v>
      </c>
      <c r="L21" s="58">
        <f t="shared" si="1"/>
        <v>250209</v>
      </c>
      <c r="M21" s="58">
        <f t="shared" si="1"/>
        <v>249447</v>
      </c>
      <c r="N21" s="58">
        <f t="shared" si="1"/>
        <v>250856</v>
      </c>
      <c r="O21" s="58">
        <f t="shared" si="1"/>
        <v>252600</v>
      </c>
      <c r="P21" s="58">
        <f t="shared" si="1"/>
        <v>250835</v>
      </c>
      <c r="Q21" s="58">
        <f t="shared" si="1"/>
        <v>248783</v>
      </c>
      <c r="R21" s="58">
        <f t="shared" si="1"/>
        <v>245177</v>
      </c>
      <c r="S21" s="58">
        <f t="shared" si="1"/>
        <v>244824</v>
      </c>
      <c r="T21" s="58">
        <f t="shared" si="1"/>
        <v>240968</v>
      </c>
      <c r="U21" s="58">
        <f t="shared" si="1"/>
        <v>238050</v>
      </c>
      <c r="V21" s="58">
        <f t="shared" si="1"/>
        <v>224545</v>
      </c>
      <c r="W21" s="58">
        <f t="shared" si="1"/>
        <v>240842</v>
      </c>
      <c r="X21" s="58">
        <f t="shared" si="1"/>
        <v>242824</v>
      </c>
      <c r="Y21" s="58">
        <f t="shared" si="1"/>
        <v>243831</v>
      </c>
      <c r="Z21" s="58">
        <f t="shared" si="1"/>
        <v>244424</v>
      </c>
      <c r="AA21" s="58">
        <f t="shared" si="1"/>
        <v>247459</v>
      </c>
      <c r="AB21" s="58">
        <f t="shared" si="1"/>
        <v>246829</v>
      </c>
      <c r="AC21" s="58">
        <f t="shared" si="1"/>
        <v>244677</v>
      </c>
      <c r="AD21" s="58">
        <f t="shared" si="1"/>
        <v>240458</v>
      </c>
      <c r="AE21" s="58">
        <f t="shared" si="1"/>
        <v>241412</v>
      </c>
      <c r="AF21" s="59"/>
      <c r="AG21" s="56">
        <f t="shared" si="1"/>
        <v>13545</v>
      </c>
      <c r="AH21" s="54">
        <f t="shared" si="1"/>
        <v>26522</v>
      </c>
      <c r="AI21" s="54">
        <f t="shared" si="1"/>
        <v>40462</v>
      </c>
      <c r="AJ21" s="54">
        <f t="shared" si="1"/>
        <v>51954</v>
      </c>
      <c r="AK21" s="57">
        <f t="shared" si="1"/>
        <v>60955</v>
      </c>
    </row>
    <row r="22" spans="1:37" ht="15.75" x14ac:dyDescent="0.25">
      <c r="A22" s="11" t="s">
        <v>29</v>
      </c>
      <c r="B22" s="58">
        <f>SUM(B23:B24)</f>
        <v>252423</v>
      </c>
      <c r="C22" s="58">
        <f t="shared" ref="C22:AK22" si="2">SUM(C23:C24)</f>
        <v>255606</v>
      </c>
      <c r="D22" s="58">
        <f t="shared" si="2"/>
        <v>253825</v>
      </c>
      <c r="E22" s="58">
        <f t="shared" si="2"/>
        <v>253307</v>
      </c>
      <c r="F22" s="58">
        <f t="shared" si="2"/>
        <v>252116</v>
      </c>
      <c r="G22" s="58">
        <f t="shared" si="2"/>
        <v>250476</v>
      </c>
      <c r="H22" s="58">
        <f t="shared" si="2"/>
        <v>246654</v>
      </c>
      <c r="I22" s="58">
        <f t="shared" si="2"/>
        <v>243513</v>
      </c>
      <c r="J22" s="58">
        <f t="shared" si="2"/>
        <v>228037</v>
      </c>
      <c r="K22" s="58">
        <f t="shared" si="2"/>
        <v>245268</v>
      </c>
      <c r="L22" s="58">
        <f t="shared" si="2"/>
        <v>245193</v>
      </c>
      <c r="M22" s="58">
        <f t="shared" si="2"/>
        <v>244449</v>
      </c>
      <c r="N22" s="58">
        <f t="shared" si="2"/>
        <v>245836</v>
      </c>
      <c r="O22" s="58">
        <f t="shared" si="2"/>
        <v>247603</v>
      </c>
      <c r="P22" s="58">
        <f t="shared" si="2"/>
        <v>245850</v>
      </c>
      <c r="Q22" s="58">
        <f t="shared" si="2"/>
        <v>243837</v>
      </c>
      <c r="R22" s="58">
        <f t="shared" si="2"/>
        <v>240324</v>
      </c>
      <c r="S22" s="58">
        <f t="shared" si="2"/>
        <v>239976</v>
      </c>
      <c r="T22" s="58">
        <f t="shared" si="2"/>
        <v>236082</v>
      </c>
      <c r="U22" s="58">
        <f t="shared" si="2"/>
        <v>233058</v>
      </c>
      <c r="V22" s="58">
        <f t="shared" si="2"/>
        <v>219743</v>
      </c>
      <c r="W22" s="58">
        <f t="shared" si="2"/>
        <v>235757</v>
      </c>
      <c r="X22" s="58">
        <f t="shared" si="2"/>
        <v>237740</v>
      </c>
      <c r="Y22" s="58">
        <f t="shared" si="2"/>
        <v>238751</v>
      </c>
      <c r="Z22" s="58">
        <f t="shared" si="2"/>
        <v>239339</v>
      </c>
      <c r="AA22" s="58">
        <f t="shared" si="2"/>
        <v>242343</v>
      </c>
      <c r="AB22" s="58">
        <f t="shared" si="2"/>
        <v>241827</v>
      </c>
      <c r="AC22" s="58">
        <f t="shared" si="2"/>
        <v>239690</v>
      </c>
      <c r="AD22" s="58">
        <f t="shared" si="2"/>
        <v>235592</v>
      </c>
      <c r="AE22" s="58">
        <f t="shared" si="2"/>
        <v>236556</v>
      </c>
      <c r="AF22" s="59"/>
      <c r="AG22" s="56">
        <f t="shared" si="2"/>
        <v>13152</v>
      </c>
      <c r="AH22" s="54">
        <f t="shared" si="2"/>
        <v>25694</v>
      </c>
      <c r="AI22" s="54">
        <f t="shared" si="2"/>
        <v>39309</v>
      </c>
      <c r="AJ22" s="54">
        <f t="shared" si="2"/>
        <v>50397</v>
      </c>
      <c r="AK22" s="57">
        <f t="shared" si="2"/>
        <v>59218</v>
      </c>
    </row>
    <row r="23" spans="1:37" ht="15.75" x14ac:dyDescent="0.25">
      <c r="A23" s="12" t="s">
        <v>34</v>
      </c>
      <c r="B23" s="58">
        <v>238645</v>
      </c>
      <c r="C23" s="58">
        <v>241785</v>
      </c>
      <c r="D23" s="58">
        <v>240194</v>
      </c>
      <c r="E23" s="58">
        <v>238211</v>
      </c>
      <c r="F23" s="58">
        <v>238074</v>
      </c>
      <c r="G23" s="58">
        <v>235100</v>
      </c>
      <c r="H23" s="58">
        <v>229039</v>
      </c>
      <c r="I23" s="58">
        <v>229230</v>
      </c>
      <c r="J23" s="58">
        <v>223123</v>
      </c>
      <c r="K23" s="58">
        <v>233673</v>
      </c>
      <c r="L23" s="58">
        <v>232299</v>
      </c>
      <c r="M23" s="58">
        <v>231667</v>
      </c>
      <c r="N23" s="58">
        <v>232727</v>
      </c>
      <c r="O23" s="58">
        <v>235070</v>
      </c>
      <c r="P23" s="58">
        <v>231884</v>
      </c>
      <c r="Q23" s="58">
        <v>228434</v>
      </c>
      <c r="R23" s="58">
        <v>226919</v>
      </c>
      <c r="S23" s="58">
        <v>224975</v>
      </c>
      <c r="T23" s="58">
        <v>221140</v>
      </c>
      <c r="U23" s="58">
        <v>220331</v>
      </c>
      <c r="V23" s="58">
        <v>214891</v>
      </c>
      <c r="W23" s="58">
        <v>225912</v>
      </c>
      <c r="X23" s="58">
        <v>225907</v>
      </c>
      <c r="Y23" s="58">
        <v>227075</v>
      </c>
      <c r="Z23" s="58">
        <v>227978</v>
      </c>
      <c r="AA23" s="58">
        <v>230471</v>
      </c>
      <c r="AB23" s="58">
        <v>228217</v>
      </c>
      <c r="AC23" s="58">
        <v>225492</v>
      </c>
      <c r="AD23" s="58">
        <v>222499</v>
      </c>
      <c r="AE23" s="58">
        <v>221225</v>
      </c>
      <c r="AF23" s="59"/>
      <c r="AG23" s="56">
        <v>11492</v>
      </c>
      <c r="AH23" s="54">
        <v>23542</v>
      </c>
      <c r="AI23" s="54">
        <v>35784</v>
      </c>
      <c r="AJ23" s="54">
        <v>46693</v>
      </c>
      <c r="AK23" s="57">
        <v>55208</v>
      </c>
    </row>
    <row r="24" spans="1:37" ht="15.75" x14ac:dyDescent="0.25">
      <c r="A24" s="12" t="s">
        <v>35</v>
      </c>
      <c r="B24" s="58">
        <v>13778</v>
      </c>
      <c r="C24" s="58">
        <v>13821</v>
      </c>
      <c r="D24" s="58">
        <v>13631</v>
      </c>
      <c r="E24" s="58">
        <v>15096</v>
      </c>
      <c r="F24" s="58">
        <v>14042</v>
      </c>
      <c r="G24" s="58">
        <v>15376</v>
      </c>
      <c r="H24" s="58">
        <v>17615</v>
      </c>
      <c r="I24" s="58">
        <v>14283</v>
      </c>
      <c r="J24" s="58">
        <v>4914</v>
      </c>
      <c r="K24" s="58">
        <v>11595</v>
      </c>
      <c r="L24" s="58">
        <v>12894</v>
      </c>
      <c r="M24" s="58">
        <v>12782</v>
      </c>
      <c r="N24" s="58">
        <v>13109</v>
      </c>
      <c r="O24" s="58">
        <v>12533</v>
      </c>
      <c r="P24" s="58">
        <v>13966</v>
      </c>
      <c r="Q24" s="58">
        <v>15403</v>
      </c>
      <c r="R24" s="58">
        <v>13405</v>
      </c>
      <c r="S24" s="58">
        <v>15001</v>
      </c>
      <c r="T24" s="58">
        <v>14942</v>
      </c>
      <c r="U24" s="58">
        <v>12727</v>
      </c>
      <c r="V24" s="58">
        <v>4852</v>
      </c>
      <c r="W24" s="58">
        <v>9845</v>
      </c>
      <c r="X24" s="58">
        <v>11833</v>
      </c>
      <c r="Y24" s="58">
        <v>11676</v>
      </c>
      <c r="Z24" s="58">
        <v>11361</v>
      </c>
      <c r="AA24" s="58">
        <v>11872</v>
      </c>
      <c r="AB24" s="58">
        <v>13610</v>
      </c>
      <c r="AC24" s="58">
        <v>14198</v>
      </c>
      <c r="AD24" s="58">
        <v>13093</v>
      </c>
      <c r="AE24" s="58">
        <v>15331</v>
      </c>
      <c r="AF24" s="59"/>
      <c r="AG24" s="56">
        <v>1660</v>
      </c>
      <c r="AH24" s="54">
        <v>2152</v>
      </c>
      <c r="AI24" s="54">
        <v>3525</v>
      </c>
      <c r="AJ24" s="54">
        <v>3704</v>
      </c>
      <c r="AK24" s="57">
        <v>4010</v>
      </c>
    </row>
    <row r="25" spans="1:37" ht="15.75" x14ac:dyDescent="0.25">
      <c r="A25" s="11" t="s">
        <v>30</v>
      </c>
      <c r="B25" s="58">
        <v>5378</v>
      </c>
      <c r="C25" s="58">
        <v>5310</v>
      </c>
      <c r="D25" s="58">
        <v>5243</v>
      </c>
      <c r="E25" s="58">
        <v>5257</v>
      </c>
      <c r="F25" s="58">
        <v>5198</v>
      </c>
      <c r="G25" s="58">
        <v>5123</v>
      </c>
      <c r="H25" s="58">
        <v>5196</v>
      </c>
      <c r="I25" s="58">
        <v>5202</v>
      </c>
      <c r="J25" s="58">
        <v>4912</v>
      </c>
      <c r="K25" s="58">
        <v>5102</v>
      </c>
      <c r="L25" s="58">
        <v>5016</v>
      </c>
      <c r="M25" s="58">
        <v>4998</v>
      </c>
      <c r="N25" s="58">
        <v>5020</v>
      </c>
      <c r="O25" s="58">
        <v>4997</v>
      </c>
      <c r="P25" s="58">
        <v>4985</v>
      </c>
      <c r="Q25" s="58">
        <v>4946</v>
      </c>
      <c r="R25" s="58">
        <v>4853</v>
      </c>
      <c r="S25" s="58">
        <v>4848</v>
      </c>
      <c r="T25" s="58">
        <v>4886</v>
      </c>
      <c r="U25" s="58">
        <v>4992</v>
      </c>
      <c r="V25" s="58">
        <v>4802</v>
      </c>
      <c r="W25" s="58">
        <v>5085</v>
      </c>
      <c r="X25" s="58">
        <v>5084</v>
      </c>
      <c r="Y25" s="58">
        <v>5080</v>
      </c>
      <c r="Z25" s="58">
        <v>5085</v>
      </c>
      <c r="AA25" s="58">
        <v>5116</v>
      </c>
      <c r="AB25" s="58">
        <v>5002</v>
      </c>
      <c r="AC25" s="58">
        <v>4987</v>
      </c>
      <c r="AD25" s="58">
        <v>4866</v>
      </c>
      <c r="AE25" s="58">
        <v>4856</v>
      </c>
      <c r="AF25" s="59"/>
      <c r="AG25" s="56">
        <v>393</v>
      </c>
      <c r="AH25" s="54">
        <v>828</v>
      </c>
      <c r="AI25" s="54">
        <v>1153</v>
      </c>
      <c r="AJ25" s="54">
        <v>1557</v>
      </c>
      <c r="AK25" s="57">
        <v>1737</v>
      </c>
    </row>
    <row r="26" spans="1:37" ht="15.75" x14ac:dyDescent="0.25">
      <c r="A26" s="7" t="s">
        <v>33</v>
      </c>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9"/>
      <c r="AG26" s="56"/>
      <c r="AH26" s="54"/>
      <c r="AI26" s="54"/>
      <c r="AJ26" s="54"/>
      <c r="AK26" s="57"/>
    </row>
    <row r="27" spans="1:37" ht="15.75" x14ac:dyDescent="0.25">
      <c r="A27" s="7" t="s">
        <v>28</v>
      </c>
      <c r="B27" s="54">
        <f>SUM(B28:B29)</f>
        <v>61854</v>
      </c>
      <c r="C27" s="54">
        <f t="shared" ref="C27:AK27" si="3">SUM(C28:C29)</f>
        <v>62790</v>
      </c>
      <c r="D27" s="54">
        <f t="shared" si="3"/>
        <v>62190</v>
      </c>
      <c r="E27" s="54">
        <f t="shared" si="3"/>
        <v>61500</v>
      </c>
      <c r="F27" s="54">
        <f t="shared" si="3"/>
        <v>60802</v>
      </c>
      <c r="G27" s="54">
        <f t="shared" si="3"/>
        <v>59488</v>
      </c>
      <c r="H27" s="54">
        <f t="shared" si="3"/>
        <v>57642</v>
      </c>
      <c r="I27" s="54">
        <f t="shared" si="3"/>
        <v>58438</v>
      </c>
      <c r="J27" s="54">
        <f t="shared" si="3"/>
        <v>58684</v>
      </c>
      <c r="K27" s="54">
        <f t="shared" si="3"/>
        <v>62443</v>
      </c>
      <c r="L27" s="54">
        <f t="shared" si="3"/>
        <v>61817</v>
      </c>
      <c r="M27" s="54">
        <f t="shared" si="3"/>
        <v>61435</v>
      </c>
      <c r="N27" s="54">
        <f t="shared" si="3"/>
        <v>61605</v>
      </c>
      <c r="O27" s="54">
        <f t="shared" si="3"/>
        <v>62966</v>
      </c>
      <c r="P27" s="54">
        <f t="shared" si="3"/>
        <v>62922</v>
      </c>
      <c r="Q27" s="54">
        <f t="shared" si="3"/>
        <v>62089</v>
      </c>
      <c r="R27" s="54">
        <f t="shared" si="3"/>
        <v>60311</v>
      </c>
      <c r="S27" s="54">
        <f t="shared" si="3"/>
        <v>58854</v>
      </c>
      <c r="T27" s="54">
        <f t="shared" si="3"/>
        <v>57551</v>
      </c>
      <c r="U27" s="54">
        <f t="shared" si="3"/>
        <v>58050</v>
      </c>
      <c r="V27" s="54">
        <f t="shared" si="3"/>
        <v>58691</v>
      </c>
      <c r="W27" s="54">
        <f t="shared" si="3"/>
        <v>61116</v>
      </c>
      <c r="X27" s="54">
        <f t="shared" si="3"/>
        <v>59808</v>
      </c>
      <c r="Y27" s="54">
        <f t="shared" si="3"/>
        <v>60212</v>
      </c>
      <c r="Z27" s="54">
        <f t="shared" si="3"/>
        <v>59560</v>
      </c>
      <c r="AA27" s="54">
        <f t="shared" si="3"/>
        <v>60099</v>
      </c>
      <c r="AB27" s="54">
        <f t="shared" si="3"/>
        <v>59607</v>
      </c>
      <c r="AC27" s="54">
        <f t="shared" si="3"/>
        <v>59323</v>
      </c>
      <c r="AD27" s="54">
        <f t="shared" si="3"/>
        <v>57881</v>
      </c>
      <c r="AE27" s="54">
        <f t="shared" si="3"/>
        <v>59984</v>
      </c>
      <c r="AF27" s="55"/>
      <c r="AG27" s="56">
        <f t="shared" si="3"/>
        <v>37810</v>
      </c>
      <c r="AH27" s="54">
        <f t="shared" si="3"/>
        <v>37664</v>
      </c>
      <c r="AI27" s="54">
        <f t="shared" si="3"/>
        <v>38004</v>
      </c>
      <c r="AJ27" s="54">
        <f t="shared" si="3"/>
        <v>36811</v>
      </c>
      <c r="AK27" s="57">
        <f t="shared" si="3"/>
        <v>36626</v>
      </c>
    </row>
    <row r="28" spans="1:37" ht="15.75" x14ac:dyDescent="0.25">
      <c r="A28" s="11" t="s">
        <v>31</v>
      </c>
      <c r="B28" s="54">
        <v>32237</v>
      </c>
      <c r="C28" s="54">
        <v>33243</v>
      </c>
      <c r="D28" s="54">
        <v>32835</v>
      </c>
      <c r="E28" s="54">
        <v>32853</v>
      </c>
      <c r="F28" s="54">
        <v>32517</v>
      </c>
      <c r="G28" s="54">
        <v>32174</v>
      </c>
      <c r="H28" s="54">
        <v>31420</v>
      </c>
      <c r="I28" s="54">
        <v>32016</v>
      </c>
      <c r="J28" s="54">
        <v>28346</v>
      </c>
      <c r="K28" s="54">
        <v>31019</v>
      </c>
      <c r="L28" s="54">
        <v>30926</v>
      </c>
      <c r="M28" s="54">
        <v>31295</v>
      </c>
      <c r="N28" s="54">
        <v>31988</v>
      </c>
      <c r="O28" s="54">
        <v>33027</v>
      </c>
      <c r="P28" s="54">
        <v>32924</v>
      </c>
      <c r="Q28" s="54">
        <v>32653</v>
      </c>
      <c r="R28" s="54">
        <v>31796</v>
      </c>
      <c r="S28" s="54">
        <v>31550</v>
      </c>
      <c r="T28" s="54">
        <v>31077</v>
      </c>
      <c r="U28" s="54">
        <v>31467</v>
      </c>
      <c r="V28" s="54">
        <v>28422</v>
      </c>
      <c r="W28" s="54">
        <v>29789</v>
      </c>
      <c r="X28" s="54">
        <v>29463</v>
      </c>
      <c r="Y28" s="54">
        <v>30333</v>
      </c>
      <c r="Z28" s="54">
        <v>30267</v>
      </c>
      <c r="AA28" s="54">
        <v>30768</v>
      </c>
      <c r="AB28" s="54">
        <v>30878</v>
      </c>
      <c r="AC28" s="54">
        <v>30711</v>
      </c>
      <c r="AD28" s="54">
        <v>29904</v>
      </c>
      <c r="AE28" s="54">
        <v>31732</v>
      </c>
      <c r="AF28" s="55"/>
      <c r="AG28" s="56">
        <v>60</v>
      </c>
      <c r="AH28" s="54">
        <v>92</v>
      </c>
      <c r="AI28" s="54">
        <v>127</v>
      </c>
      <c r="AJ28" s="54">
        <v>123</v>
      </c>
      <c r="AK28" s="57">
        <v>120</v>
      </c>
    </row>
    <row r="29" spans="1:37" ht="15.75" x14ac:dyDescent="0.25">
      <c r="A29" s="11" t="s">
        <v>32</v>
      </c>
      <c r="B29" s="54">
        <v>29617</v>
      </c>
      <c r="C29" s="54">
        <v>29547</v>
      </c>
      <c r="D29" s="54">
        <v>29355</v>
      </c>
      <c r="E29" s="54">
        <v>28647</v>
      </c>
      <c r="F29" s="54">
        <v>28285</v>
      </c>
      <c r="G29" s="54">
        <v>27314</v>
      </c>
      <c r="H29" s="54">
        <v>26222</v>
      </c>
      <c r="I29" s="54">
        <v>26422</v>
      </c>
      <c r="J29" s="54">
        <v>30338</v>
      </c>
      <c r="K29" s="54">
        <v>31424</v>
      </c>
      <c r="L29" s="54">
        <v>30891</v>
      </c>
      <c r="M29" s="54">
        <v>30140</v>
      </c>
      <c r="N29" s="54">
        <v>29617</v>
      </c>
      <c r="O29" s="54">
        <v>29939</v>
      </c>
      <c r="P29" s="54">
        <v>29998</v>
      </c>
      <c r="Q29" s="54">
        <v>29436</v>
      </c>
      <c r="R29" s="54">
        <v>28515</v>
      </c>
      <c r="S29" s="54">
        <v>27304</v>
      </c>
      <c r="T29" s="54">
        <v>26474</v>
      </c>
      <c r="U29" s="54">
        <v>26583</v>
      </c>
      <c r="V29" s="54">
        <v>30269</v>
      </c>
      <c r="W29" s="54">
        <v>31327</v>
      </c>
      <c r="X29" s="54">
        <v>30345</v>
      </c>
      <c r="Y29" s="54">
        <v>29879</v>
      </c>
      <c r="Z29" s="54">
        <v>29293</v>
      </c>
      <c r="AA29" s="54">
        <v>29331</v>
      </c>
      <c r="AB29" s="54">
        <v>28729</v>
      </c>
      <c r="AC29" s="54">
        <v>28612</v>
      </c>
      <c r="AD29" s="54">
        <v>27977</v>
      </c>
      <c r="AE29" s="54">
        <v>28252</v>
      </c>
      <c r="AF29" s="55"/>
      <c r="AG29" s="56">
        <v>37750</v>
      </c>
      <c r="AH29" s="54">
        <v>37572</v>
      </c>
      <c r="AI29" s="54">
        <v>37877</v>
      </c>
      <c r="AJ29" s="54">
        <v>36688</v>
      </c>
      <c r="AK29" s="57">
        <v>36506</v>
      </c>
    </row>
    <row r="30" spans="1:37" ht="15.75" x14ac:dyDescent="0.25">
      <c r="A30" s="7" t="s">
        <v>37</v>
      </c>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v>51646</v>
      </c>
      <c r="AD30" s="54">
        <v>45189</v>
      </c>
      <c r="AE30" s="54">
        <v>35312</v>
      </c>
      <c r="AF30" s="55"/>
      <c r="AG30" s="56">
        <v>267007</v>
      </c>
      <c r="AH30" s="54">
        <v>252331</v>
      </c>
      <c r="AI30" s="54">
        <v>242839</v>
      </c>
      <c r="AJ30" s="54">
        <v>237288</v>
      </c>
      <c r="AK30" s="57">
        <v>229994</v>
      </c>
    </row>
    <row r="31" spans="1:37" ht="16.5" thickBot="1" x14ac:dyDescent="0.3">
      <c r="A31" s="7" t="s">
        <v>36</v>
      </c>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v>78793</v>
      </c>
      <c r="AD31" s="54">
        <v>83293</v>
      </c>
      <c r="AE31" s="54">
        <v>99354</v>
      </c>
      <c r="AF31" s="55"/>
      <c r="AG31" s="56">
        <v>2838</v>
      </c>
      <c r="AH31" s="54">
        <v>5063</v>
      </c>
      <c r="AI31" s="54">
        <v>7354</v>
      </c>
      <c r="AJ31" s="54">
        <v>16289</v>
      </c>
      <c r="AK31" s="57">
        <v>24774</v>
      </c>
    </row>
    <row r="32" spans="1:37" ht="15.75" x14ac:dyDescent="0.25">
      <c r="A32" s="21" t="s">
        <v>42</v>
      </c>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1"/>
      <c r="AG32" s="52"/>
      <c r="AH32" s="50"/>
      <c r="AI32" s="50"/>
      <c r="AJ32" s="50"/>
      <c r="AK32" s="53"/>
    </row>
    <row r="33" spans="1:37" ht="15.75" x14ac:dyDescent="0.25">
      <c r="A33" s="37" t="s">
        <v>91</v>
      </c>
      <c r="B33" s="58">
        <v>252025</v>
      </c>
      <c r="C33" s="58">
        <v>255242</v>
      </c>
      <c r="D33" s="58">
        <v>254496</v>
      </c>
      <c r="E33" s="58">
        <v>252832</v>
      </c>
      <c r="F33" s="58">
        <v>253275</v>
      </c>
      <c r="G33" s="58">
        <v>250113</v>
      </c>
      <c r="H33" s="58">
        <v>243914</v>
      </c>
      <c r="I33" s="58">
        <v>243496</v>
      </c>
      <c r="J33" s="58">
        <v>243538</v>
      </c>
      <c r="K33" s="58">
        <v>248541</v>
      </c>
      <c r="L33" s="58">
        <v>246932</v>
      </c>
      <c r="M33" s="58">
        <v>246347</v>
      </c>
      <c r="N33" s="58">
        <v>247022</v>
      </c>
      <c r="O33" s="58">
        <v>249406</v>
      </c>
      <c r="P33" s="58">
        <v>246669</v>
      </c>
      <c r="Q33" s="58">
        <v>244112</v>
      </c>
      <c r="R33" s="58">
        <v>243316</v>
      </c>
      <c r="S33" s="58">
        <v>240850</v>
      </c>
      <c r="T33" s="58">
        <v>236657</v>
      </c>
      <c r="U33" s="58">
        <v>235657</v>
      </c>
      <c r="V33" s="58">
        <v>235850</v>
      </c>
      <c r="W33" s="58">
        <v>241388</v>
      </c>
      <c r="X33" s="58">
        <v>241036</v>
      </c>
      <c r="Y33" s="58">
        <v>242040</v>
      </c>
      <c r="Z33" s="58">
        <v>242940</v>
      </c>
      <c r="AA33" s="58">
        <v>245203</v>
      </c>
      <c r="AB33" s="58">
        <v>243323</v>
      </c>
      <c r="AC33" s="58">
        <v>240977</v>
      </c>
      <c r="AD33" s="58">
        <v>238839</v>
      </c>
      <c r="AE33" s="58">
        <v>235827</v>
      </c>
      <c r="AF33" s="59">
        <v>231504</v>
      </c>
      <c r="AG33" s="60">
        <v>231641</v>
      </c>
      <c r="AH33" s="58">
        <v>236730</v>
      </c>
      <c r="AI33" s="58">
        <v>239979</v>
      </c>
      <c r="AJ33" s="58">
        <v>244692</v>
      </c>
      <c r="AK33" s="61">
        <v>247033</v>
      </c>
    </row>
    <row r="34" spans="1:37" ht="15.75" x14ac:dyDescent="0.25">
      <c r="A34" s="32" t="s">
        <v>84</v>
      </c>
      <c r="B34" s="58">
        <v>14133</v>
      </c>
      <c r="C34" s="58">
        <v>18482</v>
      </c>
      <c r="D34" s="58">
        <v>14988</v>
      </c>
      <c r="E34" s="58">
        <v>14787</v>
      </c>
      <c r="F34" s="58">
        <v>16397</v>
      </c>
      <c r="G34" s="58">
        <v>14354</v>
      </c>
      <c r="H34" s="58">
        <v>15265</v>
      </c>
      <c r="I34" s="58">
        <v>16558</v>
      </c>
      <c r="J34" s="58">
        <v>15145</v>
      </c>
      <c r="K34" s="58">
        <v>16978</v>
      </c>
      <c r="L34" s="58">
        <v>14507</v>
      </c>
      <c r="M34" s="58">
        <v>13762</v>
      </c>
      <c r="N34" s="58">
        <v>14651</v>
      </c>
      <c r="O34" s="58">
        <v>16796</v>
      </c>
      <c r="P34" s="58">
        <v>13521</v>
      </c>
      <c r="Q34" s="58">
        <v>14001</v>
      </c>
      <c r="R34" s="58">
        <v>14243</v>
      </c>
      <c r="S34" s="58">
        <v>13979</v>
      </c>
      <c r="T34" s="58">
        <v>15130</v>
      </c>
      <c r="U34" s="58">
        <v>14318</v>
      </c>
      <c r="V34" s="58">
        <v>14025</v>
      </c>
      <c r="W34" s="58">
        <v>16162</v>
      </c>
      <c r="X34" s="58">
        <v>13890</v>
      </c>
      <c r="Y34" s="58">
        <v>14022</v>
      </c>
      <c r="Z34" s="58">
        <v>13600</v>
      </c>
      <c r="AA34" s="58">
        <v>16017</v>
      </c>
      <c r="AB34" s="58">
        <v>13687</v>
      </c>
      <c r="AC34" s="58">
        <v>13387</v>
      </c>
      <c r="AD34" s="58">
        <v>12951</v>
      </c>
      <c r="AE34" s="58">
        <v>13087</v>
      </c>
      <c r="AF34" s="59">
        <v>14336</v>
      </c>
      <c r="AG34" s="60">
        <v>12261</v>
      </c>
      <c r="AH34" s="58">
        <v>14208</v>
      </c>
      <c r="AI34" s="58">
        <v>15541</v>
      </c>
      <c r="AJ34" s="58">
        <v>17276</v>
      </c>
      <c r="AK34" s="61">
        <v>13368</v>
      </c>
    </row>
    <row r="35" spans="1:37" ht="15.75" x14ac:dyDescent="0.25">
      <c r="A35" s="32" t="s">
        <v>85</v>
      </c>
      <c r="B35" s="58">
        <v>15894</v>
      </c>
      <c r="C35" s="58">
        <v>15265</v>
      </c>
      <c r="D35" s="58">
        <v>15734</v>
      </c>
      <c r="E35" s="58">
        <v>16451</v>
      </c>
      <c r="F35" s="58">
        <v>15954</v>
      </c>
      <c r="G35" s="58">
        <v>17516</v>
      </c>
      <c r="H35" s="58">
        <v>21464</v>
      </c>
      <c r="I35" s="58">
        <v>16976</v>
      </c>
      <c r="J35" s="58">
        <v>15103</v>
      </c>
      <c r="K35" s="58">
        <v>11975</v>
      </c>
      <c r="L35" s="58">
        <v>16116</v>
      </c>
      <c r="M35" s="58">
        <v>14347</v>
      </c>
      <c r="N35" s="58">
        <v>13976</v>
      </c>
      <c r="O35" s="58">
        <v>14412</v>
      </c>
      <c r="P35" s="58">
        <v>16258</v>
      </c>
      <c r="Q35" s="58">
        <v>16558</v>
      </c>
      <c r="R35" s="58">
        <v>15039</v>
      </c>
      <c r="S35" s="58">
        <v>16445</v>
      </c>
      <c r="T35" s="58">
        <v>19323</v>
      </c>
      <c r="U35" s="58">
        <v>15318</v>
      </c>
      <c r="V35" s="58">
        <v>13832</v>
      </c>
      <c r="W35" s="58">
        <v>10624</v>
      </c>
      <c r="X35" s="58">
        <v>14242</v>
      </c>
      <c r="Y35" s="58">
        <v>13018</v>
      </c>
      <c r="Z35" s="58">
        <v>12700</v>
      </c>
      <c r="AA35" s="58">
        <v>13754</v>
      </c>
      <c r="AB35" s="58">
        <v>15567</v>
      </c>
      <c r="AC35" s="58">
        <v>15733</v>
      </c>
      <c r="AD35" s="58">
        <v>15089</v>
      </c>
      <c r="AE35" s="58">
        <v>16099</v>
      </c>
      <c r="AF35" s="59">
        <v>18659</v>
      </c>
      <c r="AG35" s="60">
        <v>12124</v>
      </c>
      <c r="AH35" s="58">
        <v>9119</v>
      </c>
      <c r="AI35" s="58">
        <v>12292</v>
      </c>
      <c r="AJ35" s="58">
        <v>12563</v>
      </c>
      <c r="AK35" s="61">
        <v>11027</v>
      </c>
    </row>
    <row r="36" spans="1:37" ht="15.75" hidden="1" x14ac:dyDescent="0.25">
      <c r="A36" s="13" t="s">
        <v>56</v>
      </c>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v>25</v>
      </c>
      <c r="AD36" s="38">
        <v>25</v>
      </c>
      <c r="AE36" s="38">
        <v>25</v>
      </c>
      <c r="AF36" s="62">
        <v>25</v>
      </c>
      <c r="AG36" s="63">
        <v>32</v>
      </c>
      <c r="AH36" s="38">
        <v>31</v>
      </c>
      <c r="AI36" s="38">
        <v>31</v>
      </c>
      <c r="AJ36" s="38">
        <v>31</v>
      </c>
      <c r="AK36" s="64">
        <v>31</v>
      </c>
    </row>
    <row r="37" spans="1:37" ht="15.75" x14ac:dyDescent="0.25">
      <c r="A37" s="7" t="s">
        <v>53</v>
      </c>
      <c r="B37" s="38">
        <v>24727.903536026999</v>
      </c>
      <c r="C37" s="38">
        <v>25822.776681210999</v>
      </c>
      <c r="D37" s="38">
        <v>26286.090532041999</v>
      </c>
      <c r="E37" s="38">
        <v>26120.062220628999</v>
      </c>
      <c r="F37" s="38">
        <v>25989.815781371999</v>
      </c>
      <c r="G37" s="38">
        <v>24219.824253160001</v>
      </c>
      <c r="H37" s="38">
        <v>24191.107670668</v>
      </c>
      <c r="I37" s="38">
        <v>25983.329441155998</v>
      </c>
      <c r="J37" s="38">
        <v>25485.293150951002</v>
      </c>
      <c r="K37" s="38">
        <v>25630.253938532001</v>
      </c>
      <c r="L37" s="38">
        <v>24291.101571176001</v>
      </c>
      <c r="M37" s="38">
        <v>24385.618767845001</v>
      </c>
      <c r="N37" s="38">
        <v>24369.805913747001</v>
      </c>
      <c r="O37" s="38">
        <v>24823.727590117</v>
      </c>
      <c r="P37" s="38">
        <v>25385.411166739999</v>
      </c>
      <c r="Q37" s="38">
        <v>25504.223669752999</v>
      </c>
      <c r="R37" s="38">
        <v>25314.938726151999</v>
      </c>
      <c r="S37" s="38">
        <v>24307.254148577002</v>
      </c>
      <c r="T37" s="38">
        <v>25519.550964209</v>
      </c>
      <c r="U37" s="38">
        <v>27717.850673581001</v>
      </c>
      <c r="V37" s="38">
        <v>28398.396918536</v>
      </c>
      <c r="W37" s="38">
        <v>29105.840351465002</v>
      </c>
      <c r="X37" s="38">
        <v>27695.172596429002</v>
      </c>
      <c r="Y37" s="38">
        <v>27637.321924224001</v>
      </c>
      <c r="Z37" s="38">
        <v>28163.514685863</v>
      </c>
      <c r="AA37" s="38">
        <v>29068.986939832001</v>
      </c>
      <c r="AB37" s="38">
        <v>29807.528180488</v>
      </c>
      <c r="AC37" s="38">
        <v>30640.093950187002</v>
      </c>
      <c r="AD37" s="38">
        <v>30727.872368381999</v>
      </c>
      <c r="AE37" s="38">
        <v>28923.898587699001</v>
      </c>
      <c r="AF37" s="62">
        <v>29506.780538119001</v>
      </c>
      <c r="AG37" s="63">
        <v>19552</v>
      </c>
      <c r="AH37" s="38">
        <v>20894</v>
      </c>
      <c r="AI37" s="38">
        <v>24307</v>
      </c>
      <c r="AJ37" s="38">
        <v>22247</v>
      </c>
      <c r="AK37" s="64">
        <v>25446</v>
      </c>
    </row>
    <row r="38" spans="1:37" ht="15.75" x14ac:dyDescent="0.25">
      <c r="A38" s="7" t="s">
        <v>48</v>
      </c>
      <c r="B38" s="65">
        <f t="shared" ref="B38:AB38" si="4">B37/B33</f>
        <v>9.8116867517218528E-2</v>
      </c>
      <c r="C38" s="65">
        <f t="shared" si="4"/>
        <v>0.10116977880290469</v>
      </c>
      <c r="D38" s="65">
        <f t="shared" si="4"/>
        <v>0.1032868513927213</v>
      </c>
      <c r="E38" s="65">
        <f t="shared" si="4"/>
        <v>0.10330995372669995</v>
      </c>
      <c r="F38" s="65">
        <f t="shared" si="4"/>
        <v>0.10261500653981639</v>
      </c>
      <c r="G38" s="65">
        <f t="shared" si="4"/>
        <v>9.6835527354275877E-2</v>
      </c>
      <c r="H38" s="65">
        <f t="shared" si="4"/>
        <v>9.9178840372705135E-2</v>
      </c>
      <c r="I38" s="65">
        <f t="shared" si="4"/>
        <v>0.10670947137183362</v>
      </c>
      <c r="J38" s="65">
        <f t="shared" si="4"/>
        <v>0.10464606406782925</v>
      </c>
      <c r="K38" s="65">
        <f t="shared" si="4"/>
        <v>0.1031228406521741</v>
      </c>
      <c r="L38" s="65">
        <f t="shared" si="4"/>
        <v>9.837162284019893E-2</v>
      </c>
      <c r="M38" s="65">
        <f t="shared" si="4"/>
        <v>9.8988900891202256E-2</v>
      </c>
      <c r="N38" s="65">
        <f t="shared" si="4"/>
        <v>9.8654394805916076E-2</v>
      </c>
      <c r="O38" s="65">
        <f t="shared" si="4"/>
        <v>9.9531396959644108E-2</v>
      </c>
      <c r="P38" s="65">
        <f t="shared" si="4"/>
        <v>0.10291285555436637</v>
      </c>
      <c r="Q38" s="65">
        <f t="shared" si="4"/>
        <v>0.10447754993508307</v>
      </c>
      <c r="R38" s="65">
        <f t="shared" si="4"/>
        <v>0.10404140593365006</v>
      </c>
      <c r="S38" s="65">
        <f t="shared" si="4"/>
        <v>0.10092279073521694</v>
      </c>
      <c r="T38" s="65">
        <f t="shared" si="4"/>
        <v>0.10783349304778224</v>
      </c>
      <c r="U38" s="65">
        <f t="shared" si="4"/>
        <v>0.11761946674013928</v>
      </c>
      <c r="V38" s="65">
        <f t="shared" si="4"/>
        <v>0.12040872129970744</v>
      </c>
      <c r="W38" s="65">
        <f t="shared" si="4"/>
        <v>0.12057699782700466</v>
      </c>
      <c r="X38" s="65">
        <f t="shared" si="4"/>
        <v>0.11490056504600558</v>
      </c>
      <c r="Y38" s="65">
        <f t="shared" si="4"/>
        <v>0.11418493606108082</v>
      </c>
      <c r="Z38" s="65">
        <f t="shared" si="4"/>
        <v>0.11592786155372932</v>
      </c>
      <c r="AA38" s="65">
        <f t="shared" si="4"/>
        <v>0.11855069856336178</v>
      </c>
      <c r="AB38" s="65">
        <f t="shared" si="4"/>
        <v>0.12250189328788483</v>
      </c>
      <c r="AC38" s="65">
        <f>AC37/AC33</f>
        <v>0.12714945389056634</v>
      </c>
      <c r="AD38" s="65">
        <f t="shared" ref="AD38:AJ38" si="5">AD37/AD33</f>
        <v>0.12865517092427114</v>
      </c>
      <c r="AE38" s="65">
        <f t="shared" si="5"/>
        <v>0.1226488001276317</v>
      </c>
      <c r="AF38" s="66">
        <f t="shared" si="5"/>
        <v>0.127456892918131</v>
      </c>
      <c r="AG38" s="67">
        <f t="shared" si="5"/>
        <v>8.4406473810767518E-2</v>
      </c>
      <c r="AH38" s="65">
        <f t="shared" si="5"/>
        <v>8.8260887931398635E-2</v>
      </c>
      <c r="AI38" s="65">
        <f t="shared" si="5"/>
        <v>0.10128802936923648</v>
      </c>
      <c r="AJ38" s="65">
        <f t="shared" si="5"/>
        <v>9.0918379023425366E-2</v>
      </c>
      <c r="AK38" s="68">
        <f>AK37/AK33</f>
        <v>0.10300648091550521</v>
      </c>
    </row>
    <row r="39" spans="1:37" ht="15.75" x14ac:dyDescent="0.25">
      <c r="A39" s="7" t="s">
        <v>54</v>
      </c>
      <c r="B39" s="69">
        <v>695.63001305812611</v>
      </c>
      <c r="C39" s="69">
        <v>703.58244979432777</v>
      </c>
      <c r="D39" s="69">
        <v>680.6216765637339</v>
      </c>
      <c r="E39" s="69">
        <v>724.02878146064722</v>
      </c>
      <c r="F39" s="69">
        <v>692.20303831970205</v>
      </c>
      <c r="G39" s="69">
        <v>696.92436822171953</v>
      </c>
      <c r="H39" s="69">
        <v>735.41880333031474</v>
      </c>
      <c r="I39" s="69">
        <v>712.17882868045717</v>
      </c>
      <c r="J39" s="69">
        <v>729.37688999918282</v>
      </c>
      <c r="K39" s="69">
        <v>728.10781078331343</v>
      </c>
      <c r="L39" s="69">
        <v>708.06468562102464</v>
      </c>
      <c r="M39" s="69">
        <v>708.85725141194757</v>
      </c>
      <c r="N39" s="69">
        <v>682.92940705539968</v>
      </c>
      <c r="O39" s="69">
        <v>691.69065207344192</v>
      </c>
      <c r="P39" s="69">
        <v>686.18126561985741</v>
      </c>
      <c r="Q39" s="69">
        <v>739.83207088483334</v>
      </c>
      <c r="R39" s="69">
        <v>702.31419168590901</v>
      </c>
      <c r="S39" s="69">
        <v>733.92377825526387</v>
      </c>
      <c r="T39" s="69">
        <v>763.96631468960868</v>
      </c>
      <c r="U39" s="69">
        <v>749.7406482529625</v>
      </c>
      <c r="V39" s="69">
        <v>789.12490977388063</v>
      </c>
      <c r="W39" s="69">
        <v>746.71723418766476</v>
      </c>
      <c r="X39" s="69">
        <v>741.97766818850118</v>
      </c>
      <c r="Y39" s="69">
        <v>756.61151255103084</v>
      </c>
      <c r="Z39" s="69">
        <v>721.26617093890013</v>
      </c>
      <c r="AA39" s="69">
        <v>706.57601480256574</v>
      </c>
      <c r="AB39" s="69">
        <v>742.94270541221692</v>
      </c>
      <c r="AC39" s="69">
        <v>766.59774236478665</v>
      </c>
      <c r="AD39" s="69">
        <v>742.8878160958659</v>
      </c>
      <c r="AE39" s="69">
        <v>797.59739766186692</v>
      </c>
      <c r="AF39" s="70">
        <v>765.81556076425602</v>
      </c>
      <c r="AG39" s="71">
        <v>924.91237213584168</v>
      </c>
      <c r="AH39" s="69">
        <v>875.43593615391387</v>
      </c>
      <c r="AI39" s="69">
        <v>970.95852100217303</v>
      </c>
      <c r="AJ39" s="69">
        <v>824.23156380635294</v>
      </c>
      <c r="AK39" s="72">
        <v>847.5891688281115</v>
      </c>
    </row>
    <row r="40" spans="1:37" ht="15.75" x14ac:dyDescent="0.25">
      <c r="A40" s="14" t="s">
        <v>55</v>
      </c>
      <c r="B40" s="38">
        <v>2300</v>
      </c>
      <c r="C40" s="38">
        <v>2806</v>
      </c>
      <c r="D40" s="38">
        <v>3234</v>
      </c>
      <c r="E40" s="38">
        <v>2923</v>
      </c>
      <c r="F40" s="38">
        <v>2508</v>
      </c>
      <c r="G40" s="38">
        <v>2593</v>
      </c>
      <c r="H40" s="38">
        <v>2874</v>
      </c>
      <c r="I40" s="38">
        <v>2814</v>
      </c>
      <c r="J40" s="38">
        <v>2058</v>
      </c>
      <c r="K40" s="38">
        <v>2152</v>
      </c>
      <c r="L40" s="38">
        <v>2290</v>
      </c>
      <c r="M40" s="38">
        <v>2469</v>
      </c>
      <c r="N40" s="38">
        <v>2711</v>
      </c>
      <c r="O40" s="38">
        <v>2641</v>
      </c>
      <c r="P40" s="38">
        <v>3404</v>
      </c>
      <c r="Q40" s="38">
        <v>3523</v>
      </c>
      <c r="R40" s="38">
        <v>2431</v>
      </c>
      <c r="S40" s="38">
        <v>2579</v>
      </c>
      <c r="T40" s="38">
        <v>3259</v>
      </c>
      <c r="U40" s="38">
        <v>2808</v>
      </c>
      <c r="V40" s="38">
        <v>2492</v>
      </c>
      <c r="W40" s="38">
        <v>1891</v>
      </c>
      <c r="X40" s="38">
        <v>1832</v>
      </c>
      <c r="Y40" s="38">
        <v>2572</v>
      </c>
      <c r="Z40" s="38">
        <v>2150</v>
      </c>
      <c r="AA40" s="38">
        <v>2947</v>
      </c>
      <c r="AB40" s="38">
        <v>2863</v>
      </c>
      <c r="AC40" s="38">
        <v>3532</v>
      </c>
      <c r="AD40" s="38">
        <v>3251</v>
      </c>
      <c r="AE40" s="38">
        <v>2600</v>
      </c>
      <c r="AF40" s="62">
        <v>3024</v>
      </c>
      <c r="AG40" s="63">
        <v>96</v>
      </c>
      <c r="AH40" s="38">
        <v>400</v>
      </c>
      <c r="AI40" s="38">
        <v>776</v>
      </c>
      <c r="AJ40" s="38">
        <v>393</v>
      </c>
      <c r="AK40" s="64">
        <v>332</v>
      </c>
    </row>
    <row r="41" spans="1:37" ht="16.5" thickBot="1" x14ac:dyDescent="0.3">
      <c r="A41" s="15" t="s">
        <v>49</v>
      </c>
      <c r="B41" s="73">
        <f t="shared" ref="B41:AB41" si="6">B40/B33</f>
        <v>9.1260787620275775E-3</v>
      </c>
      <c r="C41" s="73">
        <f t="shared" si="6"/>
        <v>1.0993488532451556E-2</v>
      </c>
      <c r="D41" s="73">
        <f t="shared" si="6"/>
        <v>1.270746887966805E-2</v>
      </c>
      <c r="E41" s="73">
        <f t="shared" si="6"/>
        <v>1.1561036577648398E-2</v>
      </c>
      <c r="F41" s="73">
        <f t="shared" si="6"/>
        <v>9.9022801302931594E-3</v>
      </c>
      <c r="G41" s="73">
        <f t="shared" si="6"/>
        <v>1.0367313974083714E-2</v>
      </c>
      <c r="H41" s="73">
        <f t="shared" si="6"/>
        <v>1.1782841493313217E-2</v>
      </c>
      <c r="I41" s="73">
        <f t="shared" si="6"/>
        <v>1.1556658014916055E-2</v>
      </c>
      <c r="J41" s="73">
        <f t="shared" si="6"/>
        <v>8.4504266274667613E-3</v>
      </c>
      <c r="K41" s="73">
        <f t="shared" si="6"/>
        <v>8.6585311880132462E-3</v>
      </c>
      <c r="L41" s="73">
        <f t="shared" si="6"/>
        <v>9.2738081739102262E-3</v>
      </c>
      <c r="M41" s="73">
        <f t="shared" si="6"/>
        <v>1.0022448010326897E-2</v>
      </c>
      <c r="N41" s="73">
        <f t="shared" si="6"/>
        <v>1.0974730995619823E-2</v>
      </c>
      <c r="O41" s="73">
        <f t="shared" si="6"/>
        <v>1.0589159843788842E-2</v>
      </c>
      <c r="P41" s="73">
        <f t="shared" si="6"/>
        <v>1.3799869460694291E-2</v>
      </c>
      <c r="Q41" s="73">
        <f t="shared" si="6"/>
        <v>1.4431900111424265E-2</v>
      </c>
      <c r="R41" s="73">
        <f t="shared" si="6"/>
        <v>9.9911226553124326E-3</v>
      </c>
      <c r="S41" s="73">
        <f t="shared" si="6"/>
        <v>1.0707909487232718E-2</v>
      </c>
      <c r="T41" s="73">
        <f t="shared" si="6"/>
        <v>1.3770985012063874E-2</v>
      </c>
      <c r="U41" s="73">
        <f t="shared" si="6"/>
        <v>1.1915623130227407E-2</v>
      </c>
      <c r="V41" s="73">
        <f t="shared" si="6"/>
        <v>1.0566037735849057E-2</v>
      </c>
      <c r="W41" s="73">
        <f t="shared" si="6"/>
        <v>7.8338608381526842E-3</v>
      </c>
      <c r="X41" s="73">
        <f t="shared" si="6"/>
        <v>7.6005244029937434E-3</v>
      </c>
      <c r="Y41" s="73">
        <f t="shared" si="6"/>
        <v>1.0626342753263924E-2</v>
      </c>
      <c r="Z41" s="73">
        <f t="shared" si="6"/>
        <v>8.849921791388821E-3</v>
      </c>
      <c r="AA41" s="73">
        <f t="shared" si="6"/>
        <v>1.2018613149105028E-2</v>
      </c>
      <c r="AB41" s="73">
        <f t="shared" si="6"/>
        <v>1.1766253087459879E-2</v>
      </c>
      <c r="AC41" s="73">
        <f>AC40/AC33</f>
        <v>1.4657000460624873E-2</v>
      </c>
      <c r="AD41" s="73">
        <f>AD40/AD33</f>
        <v>1.3611679834532887E-2</v>
      </c>
      <c r="AE41" s="73">
        <f t="shared" ref="AE41:AK41" si="7">AE40/AE33</f>
        <v>1.1025031060904815E-2</v>
      </c>
      <c r="AF41" s="74">
        <f t="shared" si="7"/>
        <v>1.3062409288824383E-2</v>
      </c>
      <c r="AG41" s="75">
        <f t="shared" si="7"/>
        <v>4.1443440496285203E-4</v>
      </c>
      <c r="AH41" s="73">
        <f t="shared" si="7"/>
        <v>1.6896886748616567E-3</v>
      </c>
      <c r="AI41" s="73">
        <f t="shared" si="7"/>
        <v>3.2336162747573748E-3</v>
      </c>
      <c r="AJ41" s="73">
        <f t="shared" si="7"/>
        <v>1.6061007307145308E-3</v>
      </c>
      <c r="AK41" s="76">
        <f t="shared" si="7"/>
        <v>1.3439499985831852E-3</v>
      </c>
    </row>
    <row r="42" spans="1:37" ht="15.75" x14ac:dyDescent="0.25">
      <c r="A42" s="22" t="s">
        <v>7</v>
      </c>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8"/>
      <c r="AG42" s="79"/>
      <c r="AH42" s="77"/>
      <c r="AI42" s="77"/>
      <c r="AJ42" s="77"/>
      <c r="AK42" s="80"/>
    </row>
    <row r="43" spans="1:37" ht="15.75" x14ac:dyDescent="0.25">
      <c r="A43" s="13" t="s">
        <v>57</v>
      </c>
      <c r="B43" s="38">
        <v>8458</v>
      </c>
      <c r="C43" s="38">
        <v>9698</v>
      </c>
      <c r="D43" s="38">
        <v>9148</v>
      </c>
      <c r="E43" s="38">
        <v>9132</v>
      </c>
      <c r="F43" s="38">
        <v>9480</v>
      </c>
      <c r="G43" s="38">
        <v>9956</v>
      </c>
      <c r="H43" s="38">
        <v>10341</v>
      </c>
      <c r="I43" s="38">
        <v>9768</v>
      </c>
      <c r="J43" s="38">
        <v>7902</v>
      </c>
      <c r="K43" s="38">
        <v>9891</v>
      </c>
      <c r="L43" s="38">
        <v>8535</v>
      </c>
      <c r="M43" s="38">
        <v>9115</v>
      </c>
      <c r="N43" s="38">
        <v>8742</v>
      </c>
      <c r="O43" s="38">
        <v>9263</v>
      </c>
      <c r="P43" s="38">
        <v>8360</v>
      </c>
      <c r="Q43" s="38">
        <v>8999</v>
      </c>
      <c r="R43" s="38">
        <v>8423</v>
      </c>
      <c r="S43" s="38">
        <v>9586</v>
      </c>
      <c r="T43" s="38">
        <v>9831</v>
      </c>
      <c r="U43" s="38">
        <v>8737</v>
      </c>
      <c r="V43" s="38">
        <v>7839</v>
      </c>
      <c r="W43" s="38">
        <v>9140</v>
      </c>
      <c r="X43" s="38">
        <v>8048</v>
      </c>
      <c r="Y43" s="38">
        <v>8545</v>
      </c>
      <c r="Z43" s="38">
        <v>8365</v>
      </c>
      <c r="AA43" s="38">
        <v>8634</v>
      </c>
      <c r="AB43" s="38">
        <v>8524</v>
      </c>
      <c r="AC43" s="38">
        <v>8703</v>
      </c>
      <c r="AD43" s="38">
        <v>7916</v>
      </c>
      <c r="AE43" s="38">
        <v>9957</v>
      </c>
      <c r="AF43" s="62">
        <v>10159</v>
      </c>
      <c r="AG43" s="63">
        <v>18601</v>
      </c>
      <c r="AH43" s="38">
        <v>23448</v>
      </c>
      <c r="AI43" s="38">
        <v>20501</v>
      </c>
      <c r="AJ43" s="38">
        <v>15538</v>
      </c>
      <c r="AK43" s="64">
        <v>17899</v>
      </c>
    </row>
    <row r="44" spans="1:37" ht="15.75" x14ac:dyDescent="0.25">
      <c r="A44" s="13" t="s">
        <v>80</v>
      </c>
      <c r="B44" s="38">
        <f>B115</f>
        <v>8458</v>
      </c>
      <c r="C44" s="38">
        <f t="shared" ref="C44:AK44" si="8">C115</f>
        <v>9698</v>
      </c>
      <c r="D44" s="38">
        <f t="shared" si="8"/>
        <v>9148</v>
      </c>
      <c r="E44" s="38">
        <f t="shared" si="8"/>
        <v>9132</v>
      </c>
      <c r="F44" s="38">
        <f t="shared" si="8"/>
        <v>9480</v>
      </c>
      <c r="G44" s="38">
        <f t="shared" si="8"/>
        <v>9956</v>
      </c>
      <c r="H44" s="38">
        <f t="shared" si="8"/>
        <v>10341</v>
      </c>
      <c r="I44" s="38">
        <f t="shared" si="8"/>
        <v>9768</v>
      </c>
      <c r="J44" s="38">
        <f t="shared" si="8"/>
        <v>7902</v>
      </c>
      <c r="K44" s="38">
        <f t="shared" si="8"/>
        <v>9891</v>
      </c>
      <c r="L44" s="38">
        <f t="shared" si="8"/>
        <v>8535</v>
      </c>
      <c r="M44" s="38">
        <f t="shared" si="8"/>
        <v>9115</v>
      </c>
      <c r="N44" s="38">
        <f t="shared" si="8"/>
        <v>8742</v>
      </c>
      <c r="O44" s="38">
        <f t="shared" si="8"/>
        <v>9263</v>
      </c>
      <c r="P44" s="38">
        <f t="shared" si="8"/>
        <v>8360</v>
      </c>
      <c r="Q44" s="38">
        <f t="shared" si="8"/>
        <v>8999</v>
      </c>
      <c r="R44" s="38">
        <f t="shared" si="8"/>
        <v>8423</v>
      </c>
      <c r="S44" s="38">
        <f t="shared" si="8"/>
        <v>9586</v>
      </c>
      <c r="T44" s="38">
        <f t="shared" si="8"/>
        <v>9831</v>
      </c>
      <c r="U44" s="38">
        <f t="shared" si="8"/>
        <v>8737</v>
      </c>
      <c r="V44" s="38">
        <f t="shared" si="8"/>
        <v>7839</v>
      </c>
      <c r="W44" s="38">
        <f t="shared" si="8"/>
        <v>9140</v>
      </c>
      <c r="X44" s="38">
        <f t="shared" si="8"/>
        <v>8048</v>
      </c>
      <c r="Y44" s="38">
        <f t="shared" si="8"/>
        <v>8545</v>
      </c>
      <c r="Z44" s="38">
        <f t="shared" si="8"/>
        <v>8365</v>
      </c>
      <c r="AA44" s="38">
        <f t="shared" si="8"/>
        <v>8634</v>
      </c>
      <c r="AB44" s="38">
        <f t="shared" si="8"/>
        <v>8524</v>
      </c>
      <c r="AC44" s="38">
        <f t="shared" si="8"/>
        <v>8703</v>
      </c>
      <c r="AD44" s="38">
        <f t="shared" si="8"/>
        <v>7916</v>
      </c>
      <c r="AE44" s="38">
        <f t="shared" si="8"/>
        <v>9957</v>
      </c>
      <c r="AF44" s="62">
        <f t="shared" si="8"/>
        <v>10159</v>
      </c>
      <c r="AG44" s="63">
        <f t="shared" si="8"/>
        <v>18539</v>
      </c>
      <c r="AH44" s="38">
        <f t="shared" si="8"/>
        <v>23264</v>
      </c>
      <c r="AI44" s="38">
        <f t="shared" si="8"/>
        <v>19756</v>
      </c>
      <c r="AJ44" s="38">
        <f t="shared" si="8"/>
        <v>14815</v>
      </c>
      <c r="AK44" s="64">
        <f t="shared" si="8"/>
        <v>16978</v>
      </c>
    </row>
    <row r="45" spans="1:37" ht="15.75" x14ac:dyDescent="0.25">
      <c r="A45" s="16" t="s">
        <v>58</v>
      </c>
      <c r="B45" s="65">
        <f t="shared" ref="B45:AB45" si="9">B43/B33</f>
        <v>3.3560162682273582E-2</v>
      </c>
      <c r="C45" s="65">
        <f t="shared" si="9"/>
        <v>3.7995314250789447E-2</v>
      </c>
      <c r="D45" s="65">
        <f t="shared" si="9"/>
        <v>3.5945555136426506E-2</v>
      </c>
      <c r="E45" s="65">
        <f t="shared" si="9"/>
        <v>3.6118845715732185E-2</v>
      </c>
      <c r="F45" s="65">
        <f t="shared" si="9"/>
        <v>3.7429671305892802E-2</v>
      </c>
      <c r="G45" s="65">
        <f t="shared" si="9"/>
        <v>3.9806007684526593E-2</v>
      </c>
      <c r="H45" s="65">
        <f t="shared" si="9"/>
        <v>4.2396090425313837E-2</v>
      </c>
      <c r="I45" s="65">
        <f t="shared" si="9"/>
        <v>4.0115648717022043E-2</v>
      </c>
      <c r="J45" s="65">
        <f t="shared" si="9"/>
        <v>3.2446681831993361E-2</v>
      </c>
      <c r="K45" s="65">
        <f t="shared" si="9"/>
        <v>3.9796250920371284E-2</v>
      </c>
      <c r="L45" s="65">
        <f t="shared" si="9"/>
        <v>3.4564171512805143E-2</v>
      </c>
      <c r="M45" s="65">
        <f t="shared" si="9"/>
        <v>3.7000653549667743E-2</v>
      </c>
      <c r="N45" s="65">
        <f t="shared" si="9"/>
        <v>3.5389560444009038E-2</v>
      </c>
      <c r="O45" s="65">
        <f t="shared" si="9"/>
        <v>3.7140245222649013E-2</v>
      </c>
      <c r="P45" s="65">
        <f t="shared" si="9"/>
        <v>3.38915712959472E-2</v>
      </c>
      <c r="Q45" s="65">
        <f t="shared" si="9"/>
        <v>3.6864226256800157E-2</v>
      </c>
      <c r="R45" s="65">
        <f t="shared" si="9"/>
        <v>3.4617534399710666E-2</v>
      </c>
      <c r="S45" s="65">
        <f t="shared" si="9"/>
        <v>3.9800705833506332E-2</v>
      </c>
      <c r="T45" s="65">
        <f t="shared" si="9"/>
        <v>4.1541133370236252E-2</v>
      </c>
      <c r="U45" s="65">
        <f t="shared" si="9"/>
        <v>3.7075070971793751E-2</v>
      </c>
      <c r="V45" s="65">
        <f t="shared" si="9"/>
        <v>3.3237227051091799E-2</v>
      </c>
      <c r="W45" s="65">
        <f t="shared" si="9"/>
        <v>3.7864351169072198E-2</v>
      </c>
      <c r="X45" s="65">
        <f t="shared" si="9"/>
        <v>3.3389203272540205E-2</v>
      </c>
      <c r="Y45" s="65">
        <f t="shared" si="9"/>
        <v>3.5304081969922324E-2</v>
      </c>
      <c r="Z45" s="65">
        <f t="shared" si="9"/>
        <v>3.4432370132543015E-2</v>
      </c>
      <c r="AA45" s="65">
        <f t="shared" si="9"/>
        <v>3.5211640966872348E-2</v>
      </c>
      <c r="AB45" s="65">
        <f t="shared" si="9"/>
        <v>3.5031624630635E-2</v>
      </c>
      <c r="AC45" s="65">
        <f>AC43/AC33</f>
        <v>3.6115479900571422E-2</v>
      </c>
      <c r="AD45" s="65">
        <f t="shared" ref="AD45:AJ45" si="10">AD43/AD33</f>
        <v>3.3143665816721728E-2</v>
      </c>
      <c r="AE45" s="65">
        <f t="shared" si="10"/>
        <v>4.2221628566703556E-2</v>
      </c>
      <c r="AF45" s="66">
        <f t="shared" si="10"/>
        <v>4.3882611099592232E-2</v>
      </c>
      <c r="AG45" s="67">
        <f t="shared" si="10"/>
        <v>8.0300982986604277E-2</v>
      </c>
      <c r="AH45" s="65">
        <f t="shared" si="10"/>
        <v>9.9049550120390323E-2</v>
      </c>
      <c r="AI45" s="65">
        <f t="shared" si="10"/>
        <v>8.542830831031048E-2</v>
      </c>
      <c r="AJ45" s="65">
        <f t="shared" si="10"/>
        <v>6.350023703267782E-2</v>
      </c>
      <c r="AK45" s="68">
        <f>AK43/AK33</f>
        <v>7.2455906700724201E-2</v>
      </c>
    </row>
    <row r="46" spans="1:37" ht="15.75" x14ac:dyDescent="0.25">
      <c r="A46" s="16" t="s">
        <v>86</v>
      </c>
      <c r="B46" s="65">
        <f t="shared" ref="B46:AK46" si="11">B44/B33</f>
        <v>3.3560162682273582E-2</v>
      </c>
      <c r="C46" s="65">
        <f t="shared" si="11"/>
        <v>3.7995314250789447E-2</v>
      </c>
      <c r="D46" s="65">
        <f t="shared" si="11"/>
        <v>3.5945555136426506E-2</v>
      </c>
      <c r="E46" s="65">
        <f t="shared" si="11"/>
        <v>3.6118845715732185E-2</v>
      </c>
      <c r="F46" s="65">
        <f t="shared" si="11"/>
        <v>3.7429671305892802E-2</v>
      </c>
      <c r="G46" s="65">
        <f t="shared" si="11"/>
        <v>3.9806007684526593E-2</v>
      </c>
      <c r="H46" s="65">
        <f t="shared" si="11"/>
        <v>4.2396090425313837E-2</v>
      </c>
      <c r="I46" s="65">
        <f t="shared" si="11"/>
        <v>4.0115648717022043E-2</v>
      </c>
      <c r="J46" s="65">
        <f t="shared" si="11"/>
        <v>3.2446681831993361E-2</v>
      </c>
      <c r="K46" s="65">
        <f t="shared" si="11"/>
        <v>3.9796250920371284E-2</v>
      </c>
      <c r="L46" s="65">
        <f t="shared" si="11"/>
        <v>3.4564171512805143E-2</v>
      </c>
      <c r="M46" s="65">
        <f t="shared" si="11"/>
        <v>3.7000653549667743E-2</v>
      </c>
      <c r="N46" s="65">
        <f t="shared" si="11"/>
        <v>3.5389560444009038E-2</v>
      </c>
      <c r="O46" s="65">
        <f t="shared" si="11"/>
        <v>3.7140245222649013E-2</v>
      </c>
      <c r="P46" s="65">
        <f t="shared" si="11"/>
        <v>3.38915712959472E-2</v>
      </c>
      <c r="Q46" s="65">
        <f t="shared" si="11"/>
        <v>3.6864226256800157E-2</v>
      </c>
      <c r="R46" s="65">
        <f t="shared" si="11"/>
        <v>3.4617534399710666E-2</v>
      </c>
      <c r="S46" s="65">
        <f t="shared" si="11"/>
        <v>3.9800705833506332E-2</v>
      </c>
      <c r="T46" s="65">
        <f t="shared" si="11"/>
        <v>4.1541133370236252E-2</v>
      </c>
      <c r="U46" s="65">
        <f t="shared" si="11"/>
        <v>3.7075070971793751E-2</v>
      </c>
      <c r="V46" s="65">
        <f t="shared" si="11"/>
        <v>3.3237227051091799E-2</v>
      </c>
      <c r="W46" s="65">
        <f t="shared" si="11"/>
        <v>3.7864351169072198E-2</v>
      </c>
      <c r="X46" s="65">
        <f t="shared" si="11"/>
        <v>3.3389203272540205E-2</v>
      </c>
      <c r="Y46" s="65">
        <f t="shared" si="11"/>
        <v>3.5304081969922324E-2</v>
      </c>
      <c r="Z46" s="65">
        <f t="shared" si="11"/>
        <v>3.4432370132543015E-2</v>
      </c>
      <c r="AA46" s="65">
        <f t="shared" si="11"/>
        <v>3.5211640966872348E-2</v>
      </c>
      <c r="AB46" s="65">
        <f t="shared" si="11"/>
        <v>3.5031624630635E-2</v>
      </c>
      <c r="AC46" s="65">
        <f t="shared" si="11"/>
        <v>3.6115479900571422E-2</v>
      </c>
      <c r="AD46" s="65">
        <f t="shared" si="11"/>
        <v>3.3143665816721728E-2</v>
      </c>
      <c r="AE46" s="65">
        <f t="shared" si="11"/>
        <v>4.2221628566703556E-2</v>
      </c>
      <c r="AF46" s="66">
        <f t="shared" si="11"/>
        <v>4.3882611099592232E-2</v>
      </c>
      <c r="AG46" s="67">
        <f t="shared" si="11"/>
        <v>8.0033327433399096E-2</v>
      </c>
      <c r="AH46" s="65">
        <f t="shared" si="11"/>
        <v>9.827229332995395E-2</v>
      </c>
      <c r="AI46" s="65">
        <f t="shared" si="11"/>
        <v>8.2323870005292135E-2</v>
      </c>
      <c r="AJ46" s="65">
        <f t="shared" si="11"/>
        <v>6.0545502100599939E-2</v>
      </c>
      <c r="AK46" s="68">
        <f t="shared" si="11"/>
        <v>6.8727659867305183E-2</v>
      </c>
    </row>
    <row r="47" spans="1:37" ht="15.75" hidden="1" x14ac:dyDescent="0.25">
      <c r="A47" s="16" t="s">
        <v>59</v>
      </c>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6"/>
      <c r="AG47" s="63">
        <v>2493</v>
      </c>
      <c r="AH47" s="38">
        <v>4384</v>
      </c>
      <c r="AI47" s="38">
        <v>9404</v>
      </c>
      <c r="AJ47" s="38">
        <v>17275</v>
      </c>
      <c r="AK47" s="64">
        <v>17275</v>
      </c>
    </row>
    <row r="48" spans="1:37" ht="15.75" hidden="1" x14ac:dyDescent="0.25">
      <c r="A48" s="16" t="s">
        <v>60</v>
      </c>
      <c r="B48" s="65">
        <f>B43/B33</f>
        <v>3.3560162682273582E-2</v>
      </c>
      <c r="C48" s="65">
        <f t="shared" ref="C48:AK48" si="12">C43/C33</f>
        <v>3.7995314250789447E-2</v>
      </c>
      <c r="D48" s="65">
        <f t="shared" si="12"/>
        <v>3.5945555136426506E-2</v>
      </c>
      <c r="E48" s="65">
        <f t="shared" si="12"/>
        <v>3.6118845715732185E-2</v>
      </c>
      <c r="F48" s="65">
        <f t="shared" si="12"/>
        <v>3.7429671305892802E-2</v>
      </c>
      <c r="G48" s="65">
        <f t="shared" si="12"/>
        <v>3.9806007684526593E-2</v>
      </c>
      <c r="H48" s="65">
        <f t="shared" si="12"/>
        <v>4.2396090425313837E-2</v>
      </c>
      <c r="I48" s="65">
        <f t="shared" si="12"/>
        <v>4.0115648717022043E-2</v>
      </c>
      <c r="J48" s="65">
        <f t="shared" si="12"/>
        <v>3.2446681831993361E-2</v>
      </c>
      <c r="K48" s="65">
        <f t="shared" si="12"/>
        <v>3.9796250920371284E-2</v>
      </c>
      <c r="L48" s="65">
        <f t="shared" si="12"/>
        <v>3.4564171512805143E-2</v>
      </c>
      <c r="M48" s="65">
        <f t="shared" si="12"/>
        <v>3.7000653549667743E-2</v>
      </c>
      <c r="N48" s="65">
        <f t="shared" si="12"/>
        <v>3.5389560444009038E-2</v>
      </c>
      <c r="O48" s="65">
        <f t="shared" si="12"/>
        <v>3.7140245222649013E-2</v>
      </c>
      <c r="P48" s="65">
        <f t="shared" si="12"/>
        <v>3.38915712959472E-2</v>
      </c>
      <c r="Q48" s="65">
        <f t="shared" si="12"/>
        <v>3.6864226256800157E-2</v>
      </c>
      <c r="R48" s="65">
        <f t="shared" si="12"/>
        <v>3.4617534399710666E-2</v>
      </c>
      <c r="S48" s="65">
        <f t="shared" si="12"/>
        <v>3.9800705833506332E-2</v>
      </c>
      <c r="T48" s="65">
        <f t="shared" si="12"/>
        <v>4.1541133370236252E-2</v>
      </c>
      <c r="U48" s="65">
        <f t="shared" si="12"/>
        <v>3.7075070971793751E-2</v>
      </c>
      <c r="V48" s="65">
        <f t="shared" si="12"/>
        <v>3.3237227051091799E-2</v>
      </c>
      <c r="W48" s="65">
        <f t="shared" si="12"/>
        <v>3.7864351169072198E-2</v>
      </c>
      <c r="X48" s="65">
        <f t="shared" si="12"/>
        <v>3.3389203272540205E-2</v>
      </c>
      <c r="Y48" s="65">
        <f t="shared" si="12"/>
        <v>3.5304081969922324E-2</v>
      </c>
      <c r="Z48" s="65">
        <f t="shared" si="12"/>
        <v>3.4432370132543015E-2</v>
      </c>
      <c r="AA48" s="65">
        <f t="shared" si="12"/>
        <v>3.5211640966872348E-2</v>
      </c>
      <c r="AB48" s="65">
        <f t="shared" si="12"/>
        <v>3.5031624630635E-2</v>
      </c>
      <c r="AC48" s="65">
        <f t="shared" si="12"/>
        <v>3.6115479900571422E-2</v>
      </c>
      <c r="AD48" s="65">
        <f t="shared" si="12"/>
        <v>3.3143665816721728E-2</v>
      </c>
      <c r="AE48" s="65">
        <f t="shared" si="12"/>
        <v>4.2221628566703556E-2</v>
      </c>
      <c r="AF48" s="66">
        <f t="shared" si="12"/>
        <v>4.3882611099592232E-2</v>
      </c>
      <c r="AG48" s="67">
        <f t="shared" si="12"/>
        <v>8.0300982986604277E-2</v>
      </c>
      <c r="AH48" s="65">
        <f t="shared" si="12"/>
        <v>9.9049550120390323E-2</v>
      </c>
      <c r="AI48" s="65">
        <f t="shared" si="12"/>
        <v>8.542830831031048E-2</v>
      </c>
      <c r="AJ48" s="65">
        <f t="shared" si="12"/>
        <v>6.350023703267782E-2</v>
      </c>
      <c r="AK48" s="68">
        <f t="shared" si="12"/>
        <v>7.2455906700724201E-2</v>
      </c>
    </row>
    <row r="49" spans="1:43" ht="15.75" x14ac:dyDescent="0.25">
      <c r="A49" s="16" t="s">
        <v>71</v>
      </c>
      <c r="B49" s="81">
        <v>8.7067646099999987</v>
      </c>
      <c r="C49" s="81">
        <v>9.036498550000001</v>
      </c>
      <c r="D49" s="81">
        <v>8.3347179300000001</v>
      </c>
      <c r="E49" s="81">
        <v>8.7100583900000004</v>
      </c>
      <c r="F49" s="81">
        <v>9.2348441799999996</v>
      </c>
      <c r="G49" s="81">
        <v>9.7421072300000002</v>
      </c>
      <c r="H49" s="81">
        <v>10.933400000000001</v>
      </c>
      <c r="I49" s="81">
        <v>10.502178970000001</v>
      </c>
      <c r="J49" s="81">
        <v>7.8682828499999999</v>
      </c>
      <c r="K49" s="81">
        <v>10.13549319</v>
      </c>
      <c r="L49" s="81">
        <v>9.3171744399999987</v>
      </c>
      <c r="M49" s="81">
        <v>9.4781005199999999</v>
      </c>
      <c r="N49" s="81">
        <v>9.7180216700000006</v>
      </c>
      <c r="O49" s="81">
        <v>10.10022232</v>
      </c>
      <c r="P49" s="81">
        <v>9.4635639499999993</v>
      </c>
      <c r="Q49" s="81">
        <v>9.9279269800000005</v>
      </c>
      <c r="R49" s="81">
        <v>9.0457669799999998</v>
      </c>
      <c r="S49" s="81">
        <v>9.9481642699999995</v>
      </c>
      <c r="T49" s="81">
        <v>11.397136609999999</v>
      </c>
      <c r="U49" s="81">
        <v>9.5507501500000007</v>
      </c>
      <c r="V49" s="81">
        <v>8.3353012399999997</v>
      </c>
      <c r="W49" s="81">
        <v>9.3933442200000012</v>
      </c>
      <c r="X49" s="81">
        <v>8.9962818800000015</v>
      </c>
      <c r="Y49" s="81">
        <v>9.0610510899999994</v>
      </c>
      <c r="Z49" s="81">
        <v>9.1124448299999994</v>
      </c>
      <c r="AA49" s="81">
        <v>9.4786118699999999</v>
      </c>
      <c r="AB49" s="81">
        <v>9.8006657799999992</v>
      </c>
      <c r="AC49" s="81">
        <v>10.50845475</v>
      </c>
      <c r="AD49" s="81">
        <v>10.14288545</v>
      </c>
      <c r="AE49" s="81">
        <v>12.932139810000001</v>
      </c>
      <c r="AF49" s="82">
        <v>12.012671189999999</v>
      </c>
      <c r="AG49" s="83">
        <v>17.8</v>
      </c>
      <c r="AH49" s="84">
        <v>46.2</v>
      </c>
      <c r="AI49" s="84">
        <v>43.8</v>
      </c>
      <c r="AJ49" s="84">
        <v>29.9</v>
      </c>
      <c r="AK49" s="85">
        <v>19.600000000000001</v>
      </c>
    </row>
    <row r="50" spans="1:43" ht="15.75" x14ac:dyDescent="0.25">
      <c r="A50" s="16" t="s">
        <v>79</v>
      </c>
      <c r="B50" s="81">
        <f>B106</f>
        <v>8.7067646099999987</v>
      </c>
      <c r="C50" s="81">
        <f t="shared" ref="C50:AK50" si="13">C106</f>
        <v>9.036498550000001</v>
      </c>
      <c r="D50" s="81">
        <f t="shared" si="13"/>
        <v>8.3347179300000001</v>
      </c>
      <c r="E50" s="81">
        <f t="shared" si="13"/>
        <v>8.7100583900000004</v>
      </c>
      <c r="F50" s="81">
        <f t="shared" si="13"/>
        <v>9.2348441799999996</v>
      </c>
      <c r="G50" s="81">
        <f t="shared" si="13"/>
        <v>9.7421072300000002</v>
      </c>
      <c r="H50" s="81">
        <f t="shared" si="13"/>
        <v>10.933400000000001</v>
      </c>
      <c r="I50" s="81">
        <f t="shared" si="13"/>
        <v>10.502178970000001</v>
      </c>
      <c r="J50" s="81">
        <f t="shared" si="13"/>
        <v>7.8682828499999999</v>
      </c>
      <c r="K50" s="81">
        <f t="shared" si="13"/>
        <v>10.13549319</v>
      </c>
      <c r="L50" s="81">
        <f t="shared" si="13"/>
        <v>9.3171744399999987</v>
      </c>
      <c r="M50" s="81">
        <f t="shared" si="13"/>
        <v>9.4781005199999999</v>
      </c>
      <c r="N50" s="81">
        <f t="shared" si="13"/>
        <v>9.7180216700000006</v>
      </c>
      <c r="O50" s="81">
        <f t="shared" si="13"/>
        <v>10.10022232</v>
      </c>
      <c r="P50" s="81">
        <f t="shared" si="13"/>
        <v>9.4635639499999993</v>
      </c>
      <c r="Q50" s="81">
        <f t="shared" si="13"/>
        <v>9.9279269800000005</v>
      </c>
      <c r="R50" s="81">
        <f t="shared" si="13"/>
        <v>9.0457669799999998</v>
      </c>
      <c r="S50" s="81">
        <f t="shared" si="13"/>
        <v>9.9481642699999995</v>
      </c>
      <c r="T50" s="81">
        <f t="shared" si="13"/>
        <v>11.397136609999999</v>
      </c>
      <c r="U50" s="81">
        <f t="shared" si="13"/>
        <v>9.5507501500000007</v>
      </c>
      <c r="V50" s="81">
        <f t="shared" si="13"/>
        <v>8.3353012399999997</v>
      </c>
      <c r="W50" s="81">
        <f t="shared" si="13"/>
        <v>9.3933442200000012</v>
      </c>
      <c r="X50" s="81">
        <f t="shared" si="13"/>
        <v>8.9962818800000015</v>
      </c>
      <c r="Y50" s="81">
        <f t="shared" si="13"/>
        <v>9.0610510899999994</v>
      </c>
      <c r="Z50" s="81">
        <f t="shared" si="13"/>
        <v>9.1124448299999994</v>
      </c>
      <c r="AA50" s="81">
        <f t="shared" si="13"/>
        <v>9.4786118699999999</v>
      </c>
      <c r="AB50" s="81">
        <f t="shared" si="13"/>
        <v>9.8006657799999992</v>
      </c>
      <c r="AC50" s="81">
        <f t="shared" si="13"/>
        <v>10.50845475</v>
      </c>
      <c r="AD50" s="81">
        <f t="shared" si="13"/>
        <v>10.14288545</v>
      </c>
      <c r="AE50" s="81">
        <f t="shared" si="13"/>
        <v>12.932139810000001</v>
      </c>
      <c r="AF50" s="82">
        <f t="shared" si="13"/>
        <v>12.012671189999999</v>
      </c>
      <c r="AG50" s="83">
        <f t="shared" si="13"/>
        <v>17.750564870000002</v>
      </c>
      <c r="AH50" s="84">
        <f t="shared" si="13"/>
        <v>46.018588549999997</v>
      </c>
      <c r="AI50" s="84">
        <f t="shared" si="13"/>
        <v>20.794603590000001</v>
      </c>
      <c r="AJ50" s="84">
        <f t="shared" si="13"/>
        <v>27.04798619</v>
      </c>
      <c r="AK50" s="85">
        <f t="shared" si="13"/>
        <v>18.257577619999999</v>
      </c>
    </row>
    <row r="51" spans="1:43" ht="15.75" hidden="1" x14ac:dyDescent="0.25">
      <c r="A51" s="16" t="s">
        <v>72</v>
      </c>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6"/>
      <c r="AG51" s="87">
        <v>2.5185566000000001</v>
      </c>
      <c r="AH51" s="88">
        <v>4.5244571200000001</v>
      </c>
      <c r="AI51" s="88">
        <v>10.23550401</v>
      </c>
      <c r="AJ51" s="84">
        <v>19.221595269999998</v>
      </c>
      <c r="AK51" s="85">
        <v>19.221595269999998</v>
      </c>
    </row>
    <row r="52" spans="1:43" ht="15.75" x14ac:dyDescent="0.25">
      <c r="A52" s="16" t="s">
        <v>61</v>
      </c>
      <c r="B52" s="89">
        <f t="shared" ref="B52:AK52" si="14">B49*1000000/B43</f>
        <v>1029.4117533695908</v>
      </c>
      <c r="C52" s="89">
        <f t="shared" si="14"/>
        <v>931.78991029078168</v>
      </c>
      <c r="D52" s="89">
        <f t="shared" si="14"/>
        <v>911.0972813729777</v>
      </c>
      <c r="E52" s="89">
        <f t="shared" si="14"/>
        <v>953.79526828734129</v>
      </c>
      <c r="F52" s="89">
        <f t="shared" si="14"/>
        <v>974.13968143459908</v>
      </c>
      <c r="G52" s="89">
        <f t="shared" si="14"/>
        <v>978.51619425472086</v>
      </c>
      <c r="H52" s="89">
        <f t="shared" si="14"/>
        <v>1057.2865293491925</v>
      </c>
      <c r="I52" s="89">
        <f t="shared" si="14"/>
        <v>1075.1616472153974</v>
      </c>
      <c r="J52" s="89">
        <f t="shared" si="14"/>
        <v>995.73308656036443</v>
      </c>
      <c r="K52" s="89">
        <f t="shared" si="14"/>
        <v>1024.7187534121929</v>
      </c>
      <c r="L52" s="89">
        <f t="shared" si="14"/>
        <v>1091.6431681312242</v>
      </c>
      <c r="M52" s="89">
        <f t="shared" si="14"/>
        <v>1039.8354931431707</v>
      </c>
      <c r="N52" s="89">
        <f t="shared" si="14"/>
        <v>1111.6474113475176</v>
      </c>
      <c r="O52" s="89">
        <f t="shared" si="14"/>
        <v>1090.3834956277665</v>
      </c>
      <c r="P52" s="89">
        <f t="shared" si="14"/>
        <v>1132.0052571770334</v>
      </c>
      <c r="Q52" s="89">
        <f t="shared" si="14"/>
        <v>1103.2255783975997</v>
      </c>
      <c r="R52" s="89">
        <f t="shared" si="14"/>
        <v>1073.9364810637542</v>
      </c>
      <c r="S52" s="89">
        <f t="shared" si="14"/>
        <v>1037.7805414145628</v>
      </c>
      <c r="T52" s="89">
        <f t="shared" si="14"/>
        <v>1159.3059312379207</v>
      </c>
      <c r="U52" s="89">
        <f t="shared" si="14"/>
        <v>1093.1383941856473</v>
      </c>
      <c r="V52" s="89">
        <f t="shared" si="14"/>
        <v>1063.3118050771782</v>
      </c>
      <c r="W52" s="89">
        <f t="shared" si="14"/>
        <v>1027.7181859956238</v>
      </c>
      <c r="X52" s="89">
        <f t="shared" si="14"/>
        <v>1117.8282654075547</v>
      </c>
      <c r="Y52" s="89">
        <f t="shared" si="14"/>
        <v>1060.3921696898772</v>
      </c>
      <c r="Z52" s="89">
        <f t="shared" si="14"/>
        <v>1089.3538350268977</v>
      </c>
      <c r="AA52" s="89">
        <f t="shared" si="14"/>
        <v>1097.82393676164</v>
      </c>
      <c r="AB52" s="89">
        <f t="shared" si="14"/>
        <v>1149.7730854059125</v>
      </c>
      <c r="AC52" s="89">
        <f t="shared" si="14"/>
        <v>1207.4519993105826</v>
      </c>
      <c r="AD52" s="89">
        <f t="shared" si="14"/>
        <v>1281.3144833249114</v>
      </c>
      <c r="AE52" s="89">
        <f t="shared" si="14"/>
        <v>1298.7988159084061</v>
      </c>
      <c r="AF52" s="90">
        <f t="shared" si="14"/>
        <v>1182.4659110148637</v>
      </c>
      <c r="AG52" s="91">
        <f t="shared" si="14"/>
        <v>956.93779904306223</v>
      </c>
      <c r="AH52" s="89">
        <f t="shared" si="14"/>
        <v>1970.3172978505629</v>
      </c>
      <c r="AI52" s="89">
        <f t="shared" si="14"/>
        <v>2136.4811472611091</v>
      </c>
      <c r="AJ52" s="89">
        <f t="shared" si="14"/>
        <v>1924.314583601493</v>
      </c>
      <c r="AK52" s="92">
        <f t="shared" si="14"/>
        <v>1095.0332420805632</v>
      </c>
    </row>
    <row r="53" spans="1:43" ht="16.5" thickBot="1" x14ac:dyDescent="0.3">
      <c r="A53" s="16" t="s">
        <v>83</v>
      </c>
      <c r="B53" s="89">
        <f t="shared" ref="B53:AK53" si="15">B50*1000000/B44</f>
        <v>1029.4117533695908</v>
      </c>
      <c r="C53" s="93">
        <f t="shared" si="15"/>
        <v>931.78991029078168</v>
      </c>
      <c r="D53" s="93">
        <f t="shared" si="15"/>
        <v>911.0972813729777</v>
      </c>
      <c r="E53" s="93">
        <f t="shared" si="15"/>
        <v>953.79526828734129</v>
      </c>
      <c r="F53" s="93">
        <f t="shared" si="15"/>
        <v>974.13968143459908</v>
      </c>
      <c r="G53" s="93">
        <f t="shared" si="15"/>
        <v>978.51619425472086</v>
      </c>
      <c r="H53" s="93">
        <f t="shared" si="15"/>
        <v>1057.2865293491925</v>
      </c>
      <c r="I53" s="93">
        <f t="shared" si="15"/>
        <v>1075.1616472153974</v>
      </c>
      <c r="J53" s="93">
        <f t="shared" si="15"/>
        <v>995.73308656036443</v>
      </c>
      <c r="K53" s="93">
        <f t="shared" si="15"/>
        <v>1024.7187534121929</v>
      </c>
      <c r="L53" s="93">
        <f t="shared" si="15"/>
        <v>1091.6431681312242</v>
      </c>
      <c r="M53" s="93">
        <f t="shared" si="15"/>
        <v>1039.8354931431707</v>
      </c>
      <c r="N53" s="93">
        <f t="shared" si="15"/>
        <v>1111.6474113475176</v>
      </c>
      <c r="O53" s="93">
        <f t="shared" si="15"/>
        <v>1090.3834956277665</v>
      </c>
      <c r="P53" s="93">
        <f t="shared" si="15"/>
        <v>1132.0052571770334</v>
      </c>
      <c r="Q53" s="93">
        <f t="shared" si="15"/>
        <v>1103.2255783975997</v>
      </c>
      <c r="R53" s="93">
        <f t="shared" si="15"/>
        <v>1073.9364810637542</v>
      </c>
      <c r="S53" s="93">
        <f t="shared" si="15"/>
        <v>1037.7805414145628</v>
      </c>
      <c r="T53" s="93">
        <f t="shared" si="15"/>
        <v>1159.3059312379207</v>
      </c>
      <c r="U53" s="93">
        <f t="shared" si="15"/>
        <v>1093.1383941856473</v>
      </c>
      <c r="V53" s="93">
        <f t="shared" si="15"/>
        <v>1063.3118050771782</v>
      </c>
      <c r="W53" s="93">
        <f t="shared" si="15"/>
        <v>1027.7181859956238</v>
      </c>
      <c r="X53" s="93">
        <f t="shared" si="15"/>
        <v>1117.8282654075547</v>
      </c>
      <c r="Y53" s="93">
        <f t="shared" si="15"/>
        <v>1060.3921696898772</v>
      </c>
      <c r="Z53" s="93">
        <f t="shared" si="15"/>
        <v>1089.3538350268977</v>
      </c>
      <c r="AA53" s="93">
        <f t="shared" si="15"/>
        <v>1097.82393676164</v>
      </c>
      <c r="AB53" s="93">
        <f t="shared" si="15"/>
        <v>1149.7730854059125</v>
      </c>
      <c r="AC53" s="93">
        <f t="shared" si="15"/>
        <v>1207.4519993105826</v>
      </c>
      <c r="AD53" s="93">
        <f t="shared" si="15"/>
        <v>1281.3144833249114</v>
      </c>
      <c r="AE53" s="93">
        <f t="shared" si="15"/>
        <v>1298.7988159084061</v>
      </c>
      <c r="AF53" s="94">
        <f t="shared" si="15"/>
        <v>1182.4659110148637</v>
      </c>
      <c r="AG53" s="95">
        <f t="shared" si="15"/>
        <v>957.47153945736022</v>
      </c>
      <c r="AH53" s="93">
        <f t="shared" si="15"/>
        <v>1978.1030153885831</v>
      </c>
      <c r="AI53" s="93">
        <f t="shared" si="15"/>
        <v>1052.5715524397651</v>
      </c>
      <c r="AJ53" s="93">
        <f t="shared" si="15"/>
        <v>1825.7162463719205</v>
      </c>
      <c r="AK53" s="96">
        <f t="shared" si="15"/>
        <v>1075.3668052774178</v>
      </c>
    </row>
    <row r="54" spans="1:43" ht="16.5" hidden="1" thickBot="1" x14ac:dyDescent="0.3">
      <c r="A54" s="17" t="s">
        <v>62</v>
      </c>
      <c r="B54" s="93"/>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4"/>
      <c r="AG54" s="97">
        <f>AG51*1000000/AG47</f>
        <v>1010.2513437625352</v>
      </c>
      <c r="AH54" s="98">
        <f>AH51*1000000/AH47</f>
        <v>1032.0385766423358</v>
      </c>
      <c r="AI54" s="98">
        <f>AI51*1000000/AI47</f>
        <v>1088.4202477669078</v>
      </c>
      <c r="AJ54" s="93">
        <f>AJ51*1000000/AJ47</f>
        <v>1112.682794211288</v>
      </c>
      <c r="AK54" s="96">
        <f>AK51*1000000/AK47</f>
        <v>1112.682794211288</v>
      </c>
      <c r="AO54" s="5"/>
      <c r="AQ54" s="5"/>
    </row>
    <row r="55" spans="1:43" ht="15.75" x14ac:dyDescent="0.25">
      <c r="A55" s="23" t="s">
        <v>8</v>
      </c>
      <c r="B55" s="99"/>
      <c r="C55" s="99"/>
      <c r="D55" s="99"/>
      <c r="E55" s="99"/>
      <c r="F55" s="99"/>
      <c r="G55" s="99"/>
      <c r="H55" s="99"/>
      <c r="I55" s="99"/>
      <c r="J55" s="99"/>
      <c r="K55" s="99"/>
      <c r="L55" s="99"/>
      <c r="M55" s="99"/>
      <c r="N55" s="99"/>
      <c r="O55" s="99"/>
      <c r="P55" s="99"/>
      <c r="Q55" s="99"/>
      <c r="R55" s="99"/>
      <c r="S55" s="99"/>
      <c r="T55" s="99"/>
      <c r="U55" s="99"/>
      <c r="V55" s="99"/>
      <c r="W55" s="99"/>
      <c r="X55" s="99"/>
      <c r="Y55" s="99"/>
      <c r="Z55" s="99"/>
      <c r="AA55" s="99"/>
      <c r="AB55" s="99"/>
      <c r="AC55" s="99"/>
      <c r="AD55" s="99"/>
      <c r="AE55" s="99"/>
      <c r="AF55" s="100"/>
      <c r="AG55" s="101"/>
      <c r="AH55" s="99"/>
      <c r="AI55" s="99"/>
      <c r="AJ55" s="99"/>
      <c r="AK55" s="102"/>
    </row>
    <row r="56" spans="1:43" ht="15.75" x14ac:dyDescent="0.25">
      <c r="A56" s="7" t="s">
        <v>1</v>
      </c>
      <c r="B56" s="103">
        <v>79875</v>
      </c>
      <c r="C56" s="103">
        <v>76844</v>
      </c>
      <c r="D56" s="103">
        <v>70979</v>
      </c>
      <c r="E56" s="103">
        <v>77294</v>
      </c>
      <c r="F56" s="103">
        <v>78117</v>
      </c>
      <c r="G56" s="103">
        <v>82178</v>
      </c>
      <c r="H56" s="103">
        <v>83919</v>
      </c>
      <c r="I56" s="103">
        <v>73220</v>
      </c>
      <c r="J56" s="103">
        <v>59086</v>
      </c>
      <c r="K56" s="103">
        <v>80374</v>
      </c>
      <c r="L56" s="103">
        <v>69034</v>
      </c>
      <c r="M56" s="103">
        <v>69573</v>
      </c>
      <c r="N56" s="103">
        <v>76546</v>
      </c>
      <c r="O56" s="103">
        <v>72567</v>
      </c>
      <c r="P56" s="103">
        <v>73863</v>
      </c>
      <c r="Q56" s="103">
        <v>79886</v>
      </c>
      <c r="R56" s="103">
        <v>71740</v>
      </c>
      <c r="S56" s="103">
        <v>81511</v>
      </c>
      <c r="T56" s="103">
        <v>76441</v>
      </c>
      <c r="U56" s="103">
        <v>67760</v>
      </c>
      <c r="V56" s="103">
        <v>60410</v>
      </c>
      <c r="W56" s="103">
        <v>74171</v>
      </c>
      <c r="X56" s="103">
        <v>66407</v>
      </c>
      <c r="Y56" s="103">
        <v>70383</v>
      </c>
      <c r="Z56" s="103">
        <v>64560</v>
      </c>
      <c r="AA56" s="103">
        <v>69634</v>
      </c>
      <c r="AB56" s="103">
        <v>75247</v>
      </c>
      <c r="AC56" s="103">
        <v>75411</v>
      </c>
      <c r="AD56" s="103">
        <v>68264</v>
      </c>
      <c r="AE56" s="103">
        <v>81867</v>
      </c>
      <c r="AF56" s="104">
        <v>66364</v>
      </c>
      <c r="AG56" s="105">
        <v>3942</v>
      </c>
      <c r="AH56" s="103">
        <v>8842</v>
      </c>
      <c r="AI56" s="103">
        <v>52944</v>
      </c>
      <c r="AJ56" s="103">
        <v>48461</v>
      </c>
      <c r="AK56" s="106">
        <v>34257</v>
      </c>
    </row>
    <row r="57" spans="1:43" ht="15.75" x14ac:dyDescent="0.25">
      <c r="A57" s="11" t="s">
        <v>46</v>
      </c>
      <c r="B57" s="103">
        <v>12781</v>
      </c>
      <c r="C57" s="103">
        <v>12616</v>
      </c>
      <c r="D57" s="103">
        <v>12525</v>
      </c>
      <c r="E57" s="103">
        <v>14608</v>
      </c>
      <c r="F57" s="103">
        <v>12398</v>
      </c>
      <c r="G57" s="103">
        <v>13140</v>
      </c>
      <c r="H57" s="103">
        <v>15364</v>
      </c>
      <c r="I57" s="103">
        <v>11914</v>
      </c>
      <c r="J57" s="103">
        <v>12484</v>
      </c>
      <c r="K57" s="103">
        <v>11974</v>
      </c>
      <c r="L57" s="103">
        <v>10583</v>
      </c>
      <c r="M57" s="103">
        <v>11410</v>
      </c>
      <c r="N57" s="103">
        <v>13339</v>
      </c>
      <c r="O57" s="103">
        <v>11198</v>
      </c>
      <c r="P57" s="103">
        <v>13281</v>
      </c>
      <c r="Q57" s="103">
        <v>15464</v>
      </c>
      <c r="R57" s="103">
        <v>11319</v>
      </c>
      <c r="S57" s="103">
        <v>13650</v>
      </c>
      <c r="T57" s="103">
        <v>13787</v>
      </c>
      <c r="U57" s="103">
        <v>11326</v>
      </c>
      <c r="V57" s="103">
        <v>12844</v>
      </c>
      <c r="W57" s="103">
        <v>10648</v>
      </c>
      <c r="X57" s="103">
        <v>11351</v>
      </c>
      <c r="Y57" s="103">
        <v>12565</v>
      </c>
      <c r="Z57" s="103">
        <v>9887</v>
      </c>
      <c r="AA57" s="103">
        <v>11164</v>
      </c>
      <c r="AB57" s="103">
        <v>13592</v>
      </c>
      <c r="AC57" s="103">
        <v>14799</v>
      </c>
      <c r="AD57" s="103">
        <v>11342</v>
      </c>
      <c r="AE57" s="103">
        <v>14927</v>
      </c>
      <c r="AF57" s="104">
        <v>13198</v>
      </c>
      <c r="AG57" s="105">
        <v>3942</v>
      </c>
      <c r="AH57" s="103">
        <v>8842</v>
      </c>
      <c r="AI57" s="103">
        <v>7246</v>
      </c>
      <c r="AJ57" s="103">
        <v>6601</v>
      </c>
      <c r="AK57" s="106">
        <v>7758</v>
      </c>
    </row>
    <row r="58" spans="1:43" ht="15.75" x14ac:dyDescent="0.25">
      <c r="A58" s="11" t="s">
        <v>0</v>
      </c>
      <c r="B58" s="103">
        <v>14024</v>
      </c>
      <c r="C58" s="103">
        <v>13727</v>
      </c>
      <c r="D58" s="103">
        <v>12723</v>
      </c>
      <c r="E58" s="103">
        <v>14814</v>
      </c>
      <c r="F58" s="103">
        <v>13682</v>
      </c>
      <c r="G58" s="103">
        <v>14282</v>
      </c>
      <c r="H58" s="103">
        <v>16463</v>
      </c>
      <c r="I58" s="103">
        <v>12855</v>
      </c>
      <c r="J58" s="103">
        <v>13353</v>
      </c>
      <c r="K58" s="103">
        <v>12347</v>
      </c>
      <c r="L58" s="103">
        <v>11493</v>
      </c>
      <c r="M58" s="103">
        <v>12280</v>
      </c>
      <c r="N58" s="103">
        <v>14329</v>
      </c>
      <c r="O58" s="103">
        <v>11977</v>
      </c>
      <c r="P58" s="103">
        <v>14144</v>
      </c>
      <c r="Q58" s="103">
        <v>16353</v>
      </c>
      <c r="R58" s="103">
        <v>12066</v>
      </c>
      <c r="S58" s="103">
        <v>14511</v>
      </c>
      <c r="T58" s="103">
        <v>14558</v>
      </c>
      <c r="U58" s="103">
        <v>11967</v>
      </c>
      <c r="V58" s="103">
        <v>13545</v>
      </c>
      <c r="W58" s="103">
        <v>10966</v>
      </c>
      <c r="X58" s="103">
        <v>12191</v>
      </c>
      <c r="Y58" s="103">
        <v>13319</v>
      </c>
      <c r="Z58" s="103">
        <v>10532</v>
      </c>
      <c r="AA58" s="103">
        <v>11838</v>
      </c>
      <c r="AB58" s="103">
        <v>14519</v>
      </c>
      <c r="AC58" s="103">
        <v>15728</v>
      </c>
      <c r="AD58" s="103">
        <v>11974</v>
      </c>
      <c r="AE58" s="103">
        <v>15838</v>
      </c>
      <c r="AF58" s="104">
        <v>14030</v>
      </c>
      <c r="AG58" s="105">
        <v>0</v>
      </c>
      <c r="AH58" s="103">
        <v>0</v>
      </c>
      <c r="AI58" s="103">
        <v>45698</v>
      </c>
      <c r="AJ58" s="103">
        <v>41860</v>
      </c>
      <c r="AK58" s="106">
        <v>26499</v>
      </c>
    </row>
    <row r="59" spans="1:43" ht="15.75" x14ac:dyDescent="0.25">
      <c r="A59" s="18" t="s">
        <v>17</v>
      </c>
      <c r="B59" s="103">
        <v>51093</v>
      </c>
      <c r="C59" s="103">
        <v>48472</v>
      </c>
      <c r="D59" s="103">
        <v>43808</v>
      </c>
      <c r="E59" s="103">
        <v>45533</v>
      </c>
      <c r="F59" s="103">
        <v>49979</v>
      </c>
      <c r="G59" s="103">
        <v>52692</v>
      </c>
      <c r="H59" s="103">
        <v>49713</v>
      </c>
      <c r="I59" s="103">
        <v>46130</v>
      </c>
      <c r="J59" s="103">
        <v>31109</v>
      </c>
      <c r="K59" s="103">
        <v>54388</v>
      </c>
      <c r="L59" s="103">
        <v>44927</v>
      </c>
      <c r="M59" s="103">
        <v>44286</v>
      </c>
      <c r="N59" s="103">
        <v>47234</v>
      </c>
      <c r="O59" s="103">
        <v>47602</v>
      </c>
      <c r="P59" s="103">
        <v>44734</v>
      </c>
      <c r="Q59" s="103">
        <v>46051</v>
      </c>
      <c r="R59" s="103">
        <v>46265</v>
      </c>
      <c r="S59" s="103">
        <v>51331</v>
      </c>
      <c r="T59" s="103">
        <v>46317</v>
      </c>
      <c r="U59" s="103">
        <v>42651</v>
      </c>
      <c r="V59" s="103">
        <v>32265</v>
      </c>
      <c r="W59" s="103">
        <v>51114</v>
      </c>
      <c r="X59" s="103">
        <v>41171</v>
      </c>
      <c r="Y59" s="103">
        <v>43010</v>
      </c>
      <c r="Z59" s="103">
        <v>42656</v>
      </c>
      <c r="AA59" s="103">
        <v>45326</v>
      </c>
      <c r="AB59" s="103">
        <v>45593</v>
      </c>
      <c r="AC59" s="103">
        <v>42971</v>
      </c>
      <c r="AD59" s="103">
        <v>43013</v>
      </c>
      <c r="AE59" s="103">
        <v>49120</v>
      </c>
      <c r="AF59" s="104">
        <v>37213</v>
      </c>
      <c r="AG59" s="105" t="s">
        <v>45</v>
      </c>
      <c r="AH59" s="103" t="s">
        <v>45</v>
      </c>
      <c r="AI59" s="103" t="s">
        <v>45</v>
      </c>
      <c r="AJ59" s="103" t="s">
        <v>45</v>
      </c>
      <c r="AK59" s="106" t="s">
        <v>45</v>
      </c>
      <c r="AQ59" s="6"/>
    </row>
    <row r="60" spans="1:43" ht="15.75" x14ac:dyDescent="0.25">
      <c r="A60" s="18" t="s">
        <v>18</v>
      </c>
      <c r="B60" s="103">
        <v>1977</v>
      </c>
      <c r="C60" s="103">
        <v>2029</v>
      </c>
      <c r="D60" s="103">
        <v>1923</v>
      </c>
      <c r="E60" s="103">
        <v>2339</v>
      </c>
      <c r="F60" s="103">
        <v>2058</v>
      </c>
      <c r="G60" s="103">
        <v>2064</v>
      </c>
      <c r="H60" s="103">
        <v>2379</v>
      </c>
      <c r="I60" s="103">
        <v>2321</v>
      </c>
      <c r="J60" s="103">
        <v>2140</v>
      </c>
      <c r="K60" s="103">
        <v>1665</v>
      </c>
      <c r="L60" s="103">
        <v>2031</v>
      </c>
      <c r="M60" s="103">
        <v>1597</v>
      </c>
      <c r="N60" s="103">
        <v>1644</v>
      </c>
      <c r="O60" s="103">
        <v>1790</v>
      </c>
      <c r="P60" s="103">
        <v>1704</v>
      </c>
      <c r="Q60" s="103">
        <v>2018</v>
      </c>
      <c r="R60" s="103">
        <v>2090</v>
      </c>
      <c r="S60" s="103">
        <v>2019</v>
      </c>
      <c r="T60" s="103">
        <v>1779</v>
      </c>
      <c r="U60" s="103">
        <v>1816</v>
      </c>
      <c r="V60" s="103">
        <v>1756</v>
      </c>
      <c r="W60" s="103">
        <v>1443</v>
      </c>
      <c r="X60" s="103">
        <v>1694</v>
      </c>
      <c r="Y60" s="103">
        <v>1489</v>
      </c>
      <c r="Z60" s="103">
        <v>1485</v>
      </c>
      <c r="AA60" s="103">
        <v>1306</v>
      </c>
      <c r="AB60" s="103">
        <v>1543</v>
      </c>
      <c r="AC60" s="103">
        <v>1913</v>
      </c>
      <c r="AD60" s="103">
        <v>1935</v>
      </c>
      <c r="AE60" s="103">
        <v>1982</v>
      </c>
      <c r="AF60" s="104">
        <v>1923</v>
      </c>
      <c r="AG60" s="105" t="s">
        <v>45</v>
      </c>
      <c r="AH60" s="103" t="s">
        <v>45</v>
      </c>
      <c r="AI60" s="103" t="s">
        <v>45</v>
      </c>
      <c r="AJ60" s="103" t="s">
        <v>45</v>
      </c>
      <c r="AK60" s="106" t="s">
        <v>45</v>
      </c>
      <c r="AQ60" s="6"/>
    </row>
    <row r="61" spans="1:43" ht="15.75" x14ac:dyDescent="0.25">
      <c r="A61" s="7" t="s">
        <v>16</v>
      </c>
      <c r="B61" s="103">
        <v>50725</v>
      </c>
      <c r="C61" s="103">
        <v>50085</v>
      </c>
      <c r="D61" s="103">
        <v>44804</v>
      </c>
      <c r="E61" s="103">
        <v>48576</v>
      </c>
      <c r="F61" s="103">
        <v>49128</v>
      </c>
      <c r="G61" s="103">
        <v>48776</v>
      </c>
      <c r="H61" s="103">
        <v>50428</v>
      </c>
      <c r="I61" s="103">
        <v>47181</v>
      </c>
      <c r="J61" s="103">
        <v>37919</v>
      </c>
      <c r="K61" s="103">
        <v>55211</v>
      </c>
      <c r="L61" s="103">
        <v>43178</v>
      </c>
      <c r="M61" s="103">
        <v>46291</v>
      </c>
      <c r="N61" s="103">
        <v>50990</v>
      </c>
      <c r="O61" s="103">
        <v>47435</v>
      </c>
      <c r="P61" s="103">
        <v>46838</v>
      </c>
      <c r="Q61" s="103">
        <v>52172</v>
      </c>
      <c r="R61" s="103">
        <v>44945</v>
      </c>
      <c r="S61" s="103">
        <v>49655</v>
      </c>
      <c r="T61" s="103">
        <v>46874</v>
      </c>
      <c r="U61" s="103">
        <v>44753</v>
      </c>
      <c r="V61" s="103">
        <v>41614</v>
      </c>
      <c r="W61" s="103">
        <v>51872</v>
      </c>
      <c r="X61" s="103">
        <v>43709</v>
      </c>
      <c r="Y61" s="103">
        <v>47729</v>
      </c>
      <c r="Z61" s="103">
        <v>41227</v>
      </c>
      <c r="AA61" s="103">
        <v>45469</v>
      </c>
      <c r="AB61" s="103">
        <v>48480</v>
      </c>
      <c r="AC61" s="103">
        <v>49817</v>
      </c>
      <c r="AD61" s="103">
        <v>42539</v>
      </c>
      <c r="AE61" s="103">
        <v>52242</v>
      </c>
      <c r="AF61" s="104">
        <v>45118</v>
      </c>
      <c r="AG61" s="105">
        <v>2605</v>
      </c>
      <c r="AH61" s="103">
        <v>6426</v>
      </c>
      <c r="AI61" s="103">
        <v>37630</v>
      </c>
      <c r="AJ61" s="103">
        <v>35428</v>
      </c>
      <c r="AK61" s="106">
        <v>22594</v>
      </c>
      <c r="AQ61" s="6"/>
    </row>
    <row r="62" spans="1:43" ht="15.75" x14ac:dyDescent="0.25">
      <c r="A62" s="11" t="s">
        <v>46</v>
      </c>
      <c r="B62" s="103">
        <v>6772</v>
      </c>
      <c r="C62" s="103">
        <v>6112</v>
      </c>
      <c r="D62" s="103">
        <v>5335</v>
      </c>
      <c r="E62" s="103">
        <v>7327</v>
      </c>
      <c r="F62" s="103">
        <v>5601</v>
      </c>
      <c r="G62" s="103">
        <v>5927</v>
      </c>
      <c r="H62" s="103">
        <v>6747</v>
      </c>
      <c r="I62" s="103">
        <v>5560</v>
      </c>
      <c r="J62" s="103">
        <v>6605</v>
      </c>
      <c r="K62" s="103">
        <v>7035</v>
      </c>
      <c r="L62" s="103">
        <v>4763</v>
      </c>
      <c r="M62" s="103">
        <v>5852</v>
      </c>
      <c r="N62" s="103">
        <v>7693</v>
      </c>
      <c r="O62" s="103">
        <v>5440</v>
      </c>
      <c r="P62" s="103">
        <v>6280</v>
      </c>
      <c r="Q62" s="103">
        <v>8406</v>
      </c>
      <c r="R62" s="103">
        <v>4921</v>
      </c>
      <c r="S62" s="103">
        <v>6616</v>
      </c>
      <c r="T62" s="103">
        <v>6001</v>
      </c>
      <c r="U62" s="103">
        <v>5450</v>
      </c>
      <c r="V62" s="103">
        <v>7467</v>
      </c>
      <c r="W62" s="103">
        <v>6210</v>
      </c>
      <c r="X62" s="103">
        <v>5996</v>
      </c>
      <c r="Y62" s="103">
        <v>7476</v>
      </c>
      <c r="Z62" s="103">
        <v>4789</v>
      </c>
      <c r="AA62" s="103">
        <v>5354</v>
      </c>
      <c r="AB62" s="103">
        <v>6990</v>
      </c>
      <c r="AC62" s="103">
        <v>8102</v>
      </c>
      <c r="AD62" s="103">
        <v>4909</v>
      </c>
      <c r="AE62" s="103">
        <v>8033</v>
      </c>
      <c r="AF62" s="104">
        <v>5949</v>
      </c>
      <c r="AG62" s="105">
        <v>2605</v>
      </c>
      <c r="AH62" s="103">
        <v>6426</v>
      </c>
      <c r="AI62" s="103">
        <v>4912</v>
      </c>
      <c r="AJ62" s="103">
        <v>4398</v>
      </c>
      <c r="AK62" s="106">
        <v>5322</v>
      </c>
      <c r="AQ62" s="6"/>
    </row>
    <row r="63" spans="1:43" ht="15.75" x14ac:dyDescent="0.25">
      <c r="A63" s="11" t="s">
        <v>0</v>
      </c>
      <c r="B63" s="103">
        <v>7504</v>
      </c>
      <c r="C63" s="103">
        <v>6825</v>
      </c>
      <c r="D63" s="103">
        <v>5383</v>
      </c>
      <c r="E63" s="103">
        <v>7362</v>
      </c>
      <c r="F63" s="103">
        <v>6163</v>
      </c>
      <c r="G63" s="103">
        <v>6437</v>
      </c>
      <c r="H63" s="103">
        <v>7229</v>
      </c>
      <c r="I63" s="103">
        <v>5992</v>
      </c>
      <c r="J63" s="103">
        <v>7067</v>
      </c>
      <c r="K63" s="103">
        <v>7209</v>
      </c>
      <c r="L63" s="103">
        <v>5160</v>
      </c>
      <c r="M63" s="103">
        <v>6322</v>
      </c>
      <c r="N63" s="103">
        <v>8297</v>
      </c>
      <c r="O63" s="103">
        <v>5814</v>
      </c>
      <c r="P63" s="103">
        <v>6694</v>
      </c>
      <c r="Q63" s="103">
        <v>8852</v>
      </c>
      <c r="R63" s="103">
        <v>5251</v>
      </c>
      <c r="S63" s="103">
        <v>7012</v>
      </c>
      <c r="T63" s="103">
        <v>6328</v>
      </c>
      <c r="U63" s="103">
        <v>5749</v>
      </c>
      <c r="V63" s="103">
        <v>7827</v>
      </c>
      <c r="W63" s="103">
        <v>6352</v>
      </c>
      <c r="X63" s="103">
        <v>6397</v>
      </c>
      <c r="Y63" s="103">
        <v>7896</v>
      </c>
      <c r="Z63" s="103">
        <v>5068</v>
      </c>
      <c r="AA63" s="103">
        <v>5666</v>
      </c>
      <c r="AB63" s="103">
        <v>7440</v>
      </c>
      <c r="AC63" s="103">
        <v>8620</v>
      </c>
      <c r="AD63" s="103">
        <v>5193</v>
      </c>
      <c r="AE63" s="103">
        <v>8451</v>
      </c>
      <c r="AF63" s="104">
        <v>6331</v>
      </c>
      <c r="AG63" s="105">
        <v>0</v>
      </c>
      <c r="AH63" s="103">
        <v>0</v>
      </c>
      <c r="AI63" s="103">
        <v>32718</v>
      </c>
      <c r="AJ63" s="103">
        <v>31030</v>
      </c>
      <c r="AK63" s="106">
        <v>17272</v>
      </c>
      <c r="AQ63" s="6"/>
    </row>
    <row r="64" spans="1:43" ht="15.75" x14ac:dyDescent="0.25">
      <c r="A64" s="18" t="s">
        <v>17</v>
      </c>
      <c r="B64" s="107">
        <v>35222</v>
      </c>
      <c r="C64" s="107">
        <v>35862</v>
      </c>
      <c r="D64" s="107">
        <v>32894</v>
      </c>
      <c r="E64" s="107">
        <v>32416</v>
      </c>
      <c r="F64" s="107">
        <v>36057</v>
      </c>
      <c r="G64" s="107">
        <v>35138</v>
      </c>
      <c r="H64" s="107">
        <v>34962</v>
      </c>
      <c r="I64" s="107">
        <v>34108</v>
      </c>
      <c r="J64" s="107">
        <v>22834</v>
      </c>
      <c r="K64" s="107">
        <v>39865</v>
      </c>
      <c r="L64" s="107">
        <v>31900</v>
      </c>
      <c r="M64" s="107">
        <v>33011</v>
      </c>
      <c r="N64" s="107">
        <v>33876</v>
      </c>
      <c r="O64" s="107">
        <v>34942</v>
      </c>
      <c r="P64" s="107">
        <v>32670</v>
      </c>
      <c r="Q64" s="107">
        <v>33475</v>
      </c>
      <c r="R64" s="107">
        <v>33324</v>
      </c>
      <c r="S64" s="107">
        <v>34551</v>
      </c>
      <c r="T64" s="107">
        <v>33322</v>
      </c>
      <c r="U64" s="107">
        <v>32221</v>
      </c>
      <c r="V64" s="107">
        <v>24959</v>
      </c>
      <c r="W64" s="107">
        <v>38204</v>
      </c>
      <c r="X64" s="107">
        <v>29997</v>
      </c>
      <c r="Y64" s="107">
        <v>31147</v>
      </c>
      <c r="Z64" s="107">
        <v>30148</v>
      </c>
      <c r="AA64" s="107">
        <v>33341</v>
      </c>
      <c r="AB64" s="107">
        <v>32730</v>
      </c>
      <c r="AC64" s="107">
        <v>31398</v>
      </c>
      <c r="AD64" s="107">
        <v>30664</v>
      </c>
      <c r="AE64" s="107">
        <v>33868</v>
      </c>
      <c r="AF64" s="108">
        <v>30926</v>
      </c>
      <c r="AG64" s="105" t="s">
        <v>45</v>
      </c>
      <c r="AH64" s="103" t="s">
        <v>45</v>
      </c>
      <c r="AI64" s="103" t="s">
        <v>45</v>
      </c>
      <c r="AJ64" s="103" t="s">
        <v>45</v>
      </c>
      <c r="AK64" s="106" t="s">
        <v>45</v>
      </c>
      <c r="AQ64" s="6"/>
    </row>
    <row r="65" spans="1:43" ht="15.75" x14ac:dyDescent="0.25">
      <c r="A65" s="18" t="s">
        <v>18</v>
      </c>
      <c r="B65" s="107">
        <v>1227</v>
      </c>
      <c r="C65" s="107">
        <v>1286</v>
      </c>
      <c r="D65" s="107">
        <v>1192</v>
      </c>
      <c r="E65" s="107">
        <v>1471</v>
      </c>
      <c r="F65" s="107">
        <v>1307</v>
      </c>
      <c r="G65" s="107">
        <v>1274</v>
      </c>
      <c r="H65" s="107">
        <v>1490</v>
      </c>
      <c r="I65" s="107">
        <v>1521</v>
      </c>
      <c r="J65" s="107">
        <v>1413</v>
      </c>
      <c r="K65" s="107">
        <v>1102</v>
      </c>
      <c r="L65" s="107">
        <v>1355</v>
      </c>
      <c r="M65" s="107">
        <v>1106</v>
      </c>
      <c r="N65" s="107">
        <v>1124</v>
      </c>
      <c r="O65" s="107">
        <v>1239</v>
      </c>
      <c r="P65" s="107">
        <v>1194</v>
      </c>
      <c r="Q65" s="107">
        <v>1439</v>
      </c>
      <c r="R65" s="107">
        <v>1449</v>
      </c>
      <c r="S65" s="107">
        <v>1476</v>
      </c>
      <c r="T65" s="107">
        <v>1223</v>
      </c>
      <c r="U65" s="107">
        <v>1333</v>
      </c>
      <c r="V65" s="107">
        <v>1361</v>
      </c>
      <c r="W65" s="107">
        <v>1106</v>
      </c>
      <c r="X65" s="107">
        <v>1319</v>
      </c>
      <c r="Y65" s="107">
        <v>1210</v>
      </c>
      <c r="Z65" s="107">
        <v>1222</v>
      </c>
      <c r="AA65" s="107">
        <v>1108</v>
      </c>
      <c r="AB65" s="107">
        <v>1320</v>
      </c>
      <c r="AC65" s="107">
        <v>1697</v>
      </c>
      <c r="AD65" s="107">
        <v>1773</v>
      </c>
      <c r="AE65" s="107">
        <v>1890</v>
      </c>
      <c r="AF65" s="108">
        <v>1912</v>
      </c>
      <c r="AG65" s="105" t="s">
        <v>45</v>
      </c>
      <c r="AH65" s="103" t="s">
        <v>45</v>
      </c>
      <c r="AI65" s="103" t="s">
        <v>45</v>
      </c>
      <c r="AJ65" s="103" t="s">
        <v>45</v>
      </c>
      <c r="AK65" s="106" t="s">
        <v>45</v>
      </c>
      <c r="AQ65" s="6"/>
    </row>
    <row r="66" spans="1:43" ht="15.75" x14ac:dyDescent="0.25">
      <c r="A66" s="7" t="s">
        <v>47</v>
      </c>
      <c r="B66" s="107">
        <v>48824</v>
      </c>
      <c r="C66" s="107">
        <v>48165</v>
      </c>
      <c r="D66" s="107">
        <v>43091</v>
      </c>
      <c r="E66" s="107">
        <v>46558</v>
      </c>
      <c r="F66" s="107">
        <v>47075</v>
      </c>
      <c r="G66" s="107">
        <v>46473</v>
      </c>
      <c r="H66" s="107">
        <v>48189</v>
      </c>
      <c r="I66" s="107">
        <v>45249</v>
      </c>
      <c r="J66" s="107">
        <v>36195</v>
      </c>
      <c r="K66" s="107">
        <v>53375</v>
      </c>
      <c r="L66" s="107">
        <v>41374</v>
      </c>
      <c r="M66" s="107">
        <v>44662</v>
      </c>
      <c r="N66" s="107">
        <v>49147</v>
      </c>
      <c r="O66" s="107">
        <v>45581</v>
      </c>
      <c r="P66" s="107">
        <v>45052</v>
      </c>
      <c r="Q66" s="107">
        <v>50177</v>
      </c>
      <c r="R66" s="107">
        <v>42977</v>
      </c>
      <c r="S66" s="107">
        <v>47346</v>
      </c>
      <c r="T66" s="107">
        <v>45025</v>
      </c>
      <c r="U66" s="107">
        <v>43011</v>
      </c>
      <c r="V66" s="107">
        <v>39863</v>
      </c>
      <c r="W66" s="107">
        <v>50076</v>
      </c>
      <c r="X66" s="107">
        <v>42043</v>
      </c>
      <c r="Y66" s="107">
        <v>46004</v>
      </c>
      <c r="Z66" s="107">
        <v>39654</v>
      </c>
      <c r="AA66" s="107">
        <v>43826</v>
      </c>
      <c r="AB66" s="107">
        <v>46660</v>
      </c>
      <c r="AC66" s="107">
        <v>47764</v>
      </c>
      <c r="AD66" s="107">
        <v>40467</v>
      </c>
      <c r="AE66" s="107">
        <v>49595</v>
      </c>
      <c r="AF66" s="108">
        <v>42492</v>
      </c>
      <c r="AG66" s="109">
        <v>2252</v>
      </c>
      <c r="AH66" s="107">
        <v>5734</v>
      </c>
      <c r="AI66" s="107">
        <v>35116</v>
      </c>
      <c r="AJ66" s="107">
        <v>34029</v>
      </c>
      <c r="AK66" s="110">
        <v>21525</v>
      </c>
      <c r="AQ66" s="6"/>
    </row>
    <row r="67" spans="1:43" s="6" customFormat="1" ht="15.75" x14ac:dyDescent="0.25">
      <c r="A67" s="27" t="s">
        <v>92</v>
      </c>
      <c r="B67" s="111">
        <f t="shared" ref="B67:AK67" si="16">(B56-B61)/B56</f>
        <v>0.36494522691705789</v>
      </c>
      <c r="C67" s="111">
        <f t="shared" si="16"/>
        <v>0.34822497527458229</v>
      </c>
      <c r="D67" s="111">
        <f t="shared" si="16"/>
        <v>0.36877104495695912</v>
      </c>
      <c r="E67" s="111">
        <f t="shared" si="16"/>
        <v>0.37154242243899915</v>
      </c>
      <c r="F67" s="111">
        <f t="shared" si="16"/>
        <v>0.37109720035331617</v>
      </c>
      <c r="G67" s="111">
        <f t="shared" si="16"/>
        <v>0.40645914965075813</v>
      </c>
      <c r="H67" s="111">
        <f t="shared" si="16"/>
        <v>0.39908721505261024</v>
      </c>
      <c r="I67" s="111">
        <f t="shared" si="16"/>
        <v>0.35562687790221253</v>
      </c>
      <c r="J67" s="111">
        <f t="shared" si="16"/>
        <v>0.35824053075178552</v>
      </c>
      <c r="K67" s="111">
        <f t="shared" si="16"/>
        <v>0.31307387961281014</v>
      </c>
      <c r="L67" s="111">
        <f t="shared" si="16"/>
        <v>0.37454008169887304</v>
      </c>
      <c r="M67" s="111">
        <f t="shared" si="16"/>
        <v>0.33464131200321962</v>
      </c>
      <c r="N67" s="111">
        <f t="shared" si="16"/>
        <v>0.33386460429023074</v>
      </c>
      <c r="O67" s="111">
        <f t="shared" si="16"/>
        <v>0.34632822081662462</v>
      </c>
      <c r="P67" s="111">
        <f t="shared" si="16"/>
        <v>0.36588007527449468</v>
      </c>
      <c r="Q67" s="111">
        <f t="shared" si="16"/>
        <v>0.34691936008812557</v>
      </c>
      <c r="R67" s="111">
        <f t="shared" si="16"/>
        <v>0.37350153331474772</v>
      </c>
      <c r="S67" s="111">
        <f t="shared" si="16"/>
        <v>0.39081841714615206</v>
      </c>
      <c r="T67" s="111">
        <f t="shared" si="16"/>
        <v>0.38679504454415825</v>
      </c>
      <c r="U67" s="111">
        <f t="shared" si="16"/>
        <v>0.33953659976387252</v>
      </c>
      <c r="V67" s="111">
        <f t="shared" si="16"/>
        <v>0.311140539645754</v>
      </c>
      <c r="W67" s="111">
        <f t="shared" si="16"/>
        <v>0.3006431084925375</v>
      </c>
      <c r="X67" s="111">
        <f t="shared" si="16"/>
        <v>0.34180131612631198</v>
      </c>
      <c r="Y67" s="111">
        <f t="shared" si="16"/>
        <v>0.32186749641248596</v>
      </c>
      <c r="Z67" s="111">
        <f t="shared" si="16"/>
        <v>0.36141573729863691</v>
      </c>
      <c r="AA67" s="111">
        <f t="shared" si="16"/>
        <v>0.34702875032311803</v>
      </c>
      <c r="AB67" s="111">
        <f t="shared" si="16"/>
        <v>0.35572182279692216</v>
      </c>
      <c r="AC67" s="111">
        <f t="shared" si="16"/>
        <v>0.33939345718794339</v>
      </c>
      <c r="AD67" s="111">
        <f t="shared" si="16"/>
        <v>0.37684577522559476</v>
      </c>
      <c r="AE67" s="111">
        <f t="shared" si="16"/>
        <v>0.36186741910659975</v>
      </c>
      <c r="AF67" s="112">
        <f t="shared" si="16"/>
        <v>0.32014345126876015</v>
      </c>
      <c r="AG67" s="113">
        <f t="shared" si="16"/>
        <v>0.33916793505834603</v>
      </c>
      <c r="AH67" s="111">
        <f t="shared" si="16"/>
        <v>0.27324134811128703</v>
      </c>
      <c r="AI67" s="111">
        <f t="shared" si="16"/>
        <v>0.28924901783016016</v>
      </c>
      <c r="AJ67" s="111">
        <f t="shared" si="16"/>
        <v>0.26893790883390767</v>
      </c>
      <c r="AK67" s="114">
        <f t="shared" si="16"/>
        <v>0.34045596520419186</v>
      </c>
    </row>
    <row r="68" spans="1:43" s="6" customFormat="1" ht="15.75" x14ac:dyDescent="0.25">
      <c r="A68" s="27" t="s">
        <v>50</v>
      </c>
      <c r="B68" s="111">
        <f t="shared" ref="B68:AK68" si="17">B61/B56</f>
        <v>0.63505477308294211</v>
      </c>
      <c r="C68" s="111">
        <f t="shared" si="17"/>
        <v>0.65177502472541771</v>
      </c>
      <c r="D68" s="111">
        <f t="shared" si="17"/>
        <v>0.63122895504304088</v>
      </c>
      <c r="E68" s="111">
        <f t="shared" si="17"/>
        <v>0.62845757756100085</v>
      </c>
      <c r="F68" s="111">
        <f t="shared" si="17"/>
        <v>0.62890279964668383</v>
      </c>
      <c r="G68" s="111">
        <f t="shared" si="17"/>
        <v>0.59354085034924187</v>
      </c>
      <c r="H68" s="111">
        <f t="shared" si="17"/>
        <v>0.60091278494738976</v>
      </c>
      <c r="I68" s="111">
        <f t="shared" si="17"/>
        <v>0.64437312209778752</v>
      </c>
      <c r="J68" s="111">
        <f t="shared" si="17"/>
        <v>0.64175946924821448</v>
      </c>
      <c r="K68" s="111">
        <f t="shared" si="17"/>
        <v>0.68692612038718992</v>
      </c>
      <c r="L68" s="111">
        <f t="shared" si="17"/>
        <v>0.62545991830112702</v>
      </c>
      <c r="M68" s="111">
        <f t="shared" si="17"/>
        <v>0.66535868799678033</v>
      </c>
      <c r="N68" s="111">
        <f t="shared" si="17"/>
        <v>0.66613539570976932</v>
      </c>
      <c r="O68" s="111">
        <f t="shared" si="17"/>
        <v>0.65367177918337538</v>
      </c>
      <c r="P68" s="111">
        <f t="shared" si="17"/>
        <v>0.63411992472550538</v>
      </c>
      <c r="Q68" s="111">
        <f t="shared" si="17"/>
        <v>0.65308063991187437</v>
      </c>
      <c r="R68" s="111">
        <f t="shared" si="17"/>
        <v>0.62649846668525233</v>
      </c>
      <c r="S68" s="111">
        <f t="shared" si="17"/>
        <v>0.60918158285384794</v>
      </c>
      <c r="T68" s="111">
        <f t="shared" si="17"/>
        <v>0.61320495545584175</v>
      </c>
      <c r="U68" s="111">
        <f t="shared" si="17"/>
        <v>0.66046340023612748</v>
      </c>
      <c r="V68" s="111">
        <f t="shared" si="17"/>
        <v>0.68885946035424594</v>
      </c>
      <c r="W68" s="111">
        <f t="shared" si="17"/>
        <v>0.6993568915074625</v>
      </c>
      <c r="X68" s="111">
        <f t="shared" si="17"/>
        <v>0.65819868387368796</v>
      </c>
      <c r="Y68" s="111">
        <f t="shared" si="17"/>
        <v>0.67813250358751398</v>
      </c>
      <c r="Z68" s="111">
        <f t="shared" si="17"/>
        <v>0.63858426270136304</v>
      </c>
      <c r="AA68" s="111">
        <f t="shared" si="17"/>
        <v>0.65297124967688203</v>
      </c>
      <c r="AB68" s="111">
        <f t="shared" si="17"/>
        <v>0.6442781772030779</v>
      </c>
      <c r="AC68" s="111">
        <f t="shared" si="17"/>
        <v>0.66060654281205655</v>
      </c>
      <c r="AD68" s="111">
        <f t="shared" si="17"/>
        <v>0.6231542247744053</v>
      </c>
      <c r="AE68" s="111">
        <f t="shared" si="17"/>
        <v>0.6381325808934003</v>
      </c>
      <c r="AF68" s="112">
        <f t="shared" si="17"/>
        <v>0.6798565487312398</v>
      </c>
      <c r="AG68" s="113">
        <f t="shared" si="17"/>
        <v>0.66083206494165403</v>
      </c>
      <c r="AH68" s="111">
        <f t="shared" si="17"/>
        <v>0.72675865188871291</v>
      </c>
      <c r="AI68" s="111">
        <f t="shared" si="17"/>
        <v>0.71075098216983978</v>
      </c>
      <c r="AJ68" s="111">
        <f t="shared" si="17"/>
        <v>0.73106209116609233</v>
      </c>
      <c r="AK68" s="114">
        <f t="shared" si="17"/>
        <v>0.65954403479580814</v>
      </c>
    </row>
    <row r="69" spans="1:43" s="6" customFormat="1" ht="16.5" thickBot="1" x14ac:dyDescent="0.3">
      <c r="A69" s="27" t="s">
        <v>51</v>
      </c>
      <c r="B69" s="115">
        <f t="shared" ref="B69:AK69" si="18">B66/B56</f>
        <v>0.61125508607198753</v>
      </c>
      <c r="C69" s="115">
        <f t="shared" si="18"/>
        <v>0.62678933944094528</v>
      </c>
      <c r="D69" s="115">
        <f t="shared" si="18"/>
        <v>0.60709505628425309</v>
      </c>
      <c r="E69" s="115">
        <f t="shared" si="18"/>
        <v>0.60234947085155377</v>
      </c>
      <c r="F69" s="115">
        <f t="shared" si="18"/>
        <v>0.6026217084629466</v>
      </c>
      <c r="G69" s="115">
        <f t="shared" si="18"/>
        <v>0.56551631823602422</v>
      </c>
      <c r="H69" s="115">
        <f t="shared" si="18"/>
        <v>0.57423229542773391</v>
      </c>
      <c r="I69" s="115">
        <f t="shared" si="18"/>
        <v>0.61798688882818897</v>
      </c>
      <c r="J69" s="115">
        <f t="shared" si="18"/>
        <v>0.61258166063026775</v>
      </c>
      <c r="K69" s="115">
        <f t="shared" si="18"/>
        <v>0.66408291238460193</v>
      </c>
      <c r="L69" s="115">
        <f t="shared" si="18"/>
        <v>0.59932786742764432</v>
      </c>
      <c r="M69" s="115">
        <f t="shared" si="18"/>
        <v>0.64194443246661781</v>
      </c>
      <c r="N69" s="115">
        <f t="shared" si="18"/>
        <v>0.64205837013037914</v>
      </c>
      <c r="O69" s="115">
        <f t="shared" si="18"/>
        <v>0.62812297600837841</v>
      </c>
      <c r="P69" s="115">
        <f t="shared" si="18"/>
        <v>0.60994002409866921</v>
      </c>
      <c r="Q69" s="115">
        <f t="shared" si="18"/>
        <v>0.6281075532634004</v>
      </c>
      <c r="R69" s="115">
        <f t="shared" si="18"/>
        <v>0.59906607192640093</v>
      </c>
      <c r="S69" s="115">
        <f t="shared" si="18"/>
        <v>0.58085411784912466</v>
      </c>
      <c r="T69" s="115">
        <f t="shared" si="18"/>
        <v>0.5890163655629832</v>
      </c>
      <c r="U69" s="115">
        <f t="shared" si="18"/>
        <v>0.63475501770956322</v>
      </c>
      <c r="V69" s="115">
        <f t="shared" si="18"/>
        <v>0.65987419301440164</v>
      </c>
      <c r="W69" s="115">
        <f t="shared" si="18"/>
        <v>0.67514257593938332</v>
      </c>
      <c r="X69" s="115">
        <f t="shared" si="18"/>
        <v>0.63311096721731142</v>
      </c>
      <c r="Y69" s="115">
        <f t="shared" si="18"/>
        <v>0.65362374437008941</v>
      </c>
      <c r="Z69" s="115">
        <f t="shared" si="18"/>
        <v>0.61421933085501856</v>
      </c>
      <c r="AA69" s="115">
        <f t="shared" si="18"/>
        <v>0.62937645403107678</v>
      </c>
      <c r="AB69" s="115">
        <f t="shared" si="18"/>
        <v>0.62009116642523954</v>
      </c>
      <c r="AC69" s="115">
        <f t="shared" si="18"/>
        <v>0.63338239779342531</v>
      </c>
      <c r="AD69" s="115">
        <f t="shared" si="18"/>
        <v>0.59280147662018046</v>
      </c>
      <c r="AE69" s="115">
        <f t="shared" si="18"/>
        <v>0.60579965065288821</v>
      </c>
      <c r="AF69" s="116">
        <f t="shared" si="18"/>
        <v>0.6402869025375203</v>
      </c>
      <c r="AG69" s="117">
        <f t="shared" si="18"/>
        <v>0.57128361237950276</v>
      </c>
      <c r="AH69" s="115">
        <f t="shared" si="18"/>
        <v>0.64849581542637413</v>
      </c>
      <c r="AI69" s="115">
        <f t="shared" si="18"/>
        <v>0.66326684799032942</v>
      </c>
      <c r="AJ69" s="115">
        <f t="shared" si="18"/>
        <v>0.70219351643589689</v>
      </c>
      <c r="AK69" s="118">
        <f t="shared" si="18"/>
        <v>0.62833873368946491</v>
      </c>
    </row>
    <row r="70" spans="1:43" ht="15.75" x14ac:dyDescent="0.25">
      <c r="A70" s="23" t="s">
        <v>66</v>
      </c>
      <c r="B70" s="99"/>
      <c r="C70" s="99"/>
      <c r="D70" s="99"/>
      <c r="E70" s="99"/>
      <c r="F70" s="99"/>
      <c r="G70" s="99"/>
      <c r="H70" s="99"/>
      <c r="I70" s="99"/>
      <c r="J70" s="99"/>
      <c r="K70" s="99"/>
      <c r="L70" s="99"/>
      <c r="M70" s="99"/>
      <c r="N70" s="99"/>
      <c r="O70" s="99"/>
      <c r="P70" s="99"/>
      <c r="Q70" s="99"/>
      <c r="R70" s="99"/>
      <c r="S70" s="99"/>
      <c r="T70" s="99"/>
      <c r="U70" s="99"/>
      <c r="V70" s="99"/>
      <c r="W70" s="99"/>
      <c r="X70" s="99"/>
      <c r="Y70" s="99"/>
      <c r="Z70" s="99"/>
      <c r="AA70" s="99"/>
      <c r="AB70" s="99"/>
      <c r="AC70" s="99"/>
      <c r="AD70" s="99"/>
      <c r="AE70" s="99"/>
      <c r="AF70" s="100"/>
      <c r="AG70" s="101"/>
      <c r="AH70" s="99"/>
      <c r="AI70" s="99"/>
      <c r="AJ70" s="99"/>
      <c r="AK70" s="102"/>
    </row>
    <row r="71" spans="1:43" ht="15.75" x14ac:dyDescent="0.25">
      <c r="A71" s="19" t="s">
        <v>81</v>
      </c>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c r="AA71" s="119"/>
      <c r="AB71" s="119"/>
      <c r="AC71" s="119"/>
      <c r="AD71" s="119"/>
      <c r="AE71" s="119"/>
      <c r="AF71" s="120"/>
      <c r="AG71" s="121"/>
      <c r="AH71" s="119"/>
      <c r="AI71" s="119"/>
      <c r="AJ71" s="119"/>
      <c r="AK71" s="122"/>
    </row>
    <row r="72" spans="1:43" ht="15.75" x14ac:dyDescent="0.25">
      <c r="A72" s="7" t="s">
        <v>4</v>
      </c>
      <c r="B72" s="123">
        <v>81852</v>
      </c>
      <c r="C72" s="123">
        <v>87378</v>
      </c>
      <c r="D72" s="123">
        <v>81846</v>
      </c>
      <c r="E72" s="123">
        <v>77482</v>
      </c>
      <c r="F72" s="123">
        <v>77439</v>
      </c>
      <c r="G72" s="123">
        <v>68192</v>
      </c>
      <c r="H72" s="123">
        <v>70155</v>
      </c>
      <c r="I72" s="123">
        <v>71611</v>
      </c>
      <c r="J72" s="123">
        <v>66997</v>
      </c>
      <c r="K72" s="123">
        <v>66731</v>
      </c>
      <c r="L72" s="123">
        <v>65706</v>
      </c>
      <c r="M72" s="123">
        <v>66430</v>
      </c>
      <c r="N72" s="123">
        <v>68652</v>
      </c>
      <c r="O72" s="123">
        <v>66525</v>
      </c>
      <c r="P72" s="123">
        <v>60545</v>
      </c>
      <c r="Q72" s="123">
        <v>60518</v>
      </c>
      <c r="R72" s="123">
        <v>60552</v>
      </c>
      <c r="S72" s="123">
        <v>57926</v>
      </c>
      <c r="T72" s="123">
        <v>60802</v>
      </c>
      <c r="U72" s="123">
        <v>60833</v>
      </c>
      <c r="V72" s="123">
        <v>60107</v>
      </c>
      <c r="W72" s="123">
        <v>61450</v>
      </c>
      <c r="X72" s="123">
        <v>60200</v>
      </c>
      <c r="Y72" s="123">
        <v>60550</v>
      </c>
      <c r="Z72" s="123">
        <v>59782</v>
      </c>
      <c r="AA72" s="123">
        <v>61390</v>
      </c>
      <c r="AB72" s="123">
        <v>57724</v>
      </c>
      <c r="AC72" s="123">
        <v>57294</v>
      </c>
      <c r="AD72" s="123">
        <v>55362</v>
      </c>
      <c r="AE72" s="123">
        <v>55711</v>
      </c>
      <c r="AF72" s="124">
        <v>58536</v>
      </c>
      <c r="AG72" s="125">
        <v>86132</v>
      </c>
      <c r="AH72" s="123">
        <v>94297</v>
      </c>
      <c r="AI72" s="123">
        <v>93154</v>
      </c>
      <c r="AJ72" s="123">
        <v>97082</v>
      </c>
      <c r="AK72" s="126">
        <v>99290</v>
      </c>
    </row>
    <row r="73" spans="1:43" ht="15.75" x14ac:dyDescent="0.25">
      <c r="A73" s="7" t="s">
        <v>2</v>
      </c>
      <c r="B73" s="127">
        <v>60733992.18</v>
      </c>
      <c r="C73" s="127">
        <v>66241720.530000001</v>
      </c>
      <c r="D73" s="127">
        <v>61218254.5</v>
      </c>
      <c r="E73" s="127">
        <v>58266437.850000001</v>
      </c>
      <c r="F73" s="127">
        <v>59317519.899999999</v>
      </c>
      <c r="G73" s="127">
        <v>52097276.920000002</v>
      </c>
      <c r="H73" s="127">
        <v>54063177.229999997</v>
      </c>
      <c r="I73" s="127">
        <v>55073650.82</v>
      </c>
      <c r="J73" s="127">
        <v>52844292.090000004</v>
      </c>
      <c r="K73" s="127">
        <v>51096674.890000001</v>
      </c>
      <c r="L73" s="127">
        <v>50622168.450000003</v>
      </c>
      <c r="M73" s="127">
        <v>50561223.840000004</v>
      </c>
      <c r="N73" s="127">
        <v>45652900.659999996</v>
      </c>
      <c r="O73" s="127">
        <v>52274649.710000001</v>
      </c>
      <c r="P73" s="127">
        <v>47724838.090000004</v>
      </c>
      <c r="Q73" s="127">
        <v>49100071.539999999</v>
      </c>
      <c r="R73" s="127">
        <v>48023363.219999999</v>
      </c>
      <c r="S73" s="127">
        <v>46099189.82</v>
      </c>
      <c r="T73" s="127">
        <v>49333696.409999996</v>
      </c>
      <c r="U73" s="127">
        <v>48327625.75</v>
      </c>
      <c r="V73" s="127">
        <v>48707373.009999998</v>
      </c>
      <c r="W73" s="127">
        <v>49293552.789999999</v>
      </c>
      <c r="X73" s="127">
        <v>48877608.950000003</v>
      </c>
      <c r="Y73" s="127">
        <v>49410589.729999997</v>
      </c>
      <c r="Z73" s="127">
        <v>49247004.229999997</v>
      </c>
      <c r="AA73" s="127">
        <v>50146849.920000002</v>
      </c>
      <c r="AB73" s="127">
        <v>47880235.060000002</v>
      </c>
      <c r="AC73" s="127">
        <v>48732296.649999999</v>
      </c>
      <c r="AD73" s="127">
        <v>45786386.979999997</v>
      </c>
      <c r="AE73" s="127">
        <v>47170346.780000001</v>
      </c>
      <c r="AF73" s="128">
        <v>50451497.240000002</v>
      </c>
      <c r="AG73" s="129">
        <v>58355324.020000003</v>
      </c>
      <c r="AH73" s="127">
        <v>51325992.810000002</v>
      </c>
      <c r="AI73" s="127">
        <v>48339751.009999998</v>
      </c>
      <c r="AJ73" s="127">
        <v>50764308.869999997</v>
      </c>
      <c r="AK73" s="130">
        <v>52208977.670000002</v>
      </c>
    </row>
    <row r="74" spans="1:43" ht="15.75" x14ac:dyDescent="0.25">
      <c r="A74" s="19" t="s">
        <v>3</v>
      </c>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c r="AA74" s="119"/>
      <c r="AB74" s="119"/>
      <c r="AC74" s="119"/>
      <c r="AD74" s="119"/>
      <c r="AE74" s="119"/>
      <c r="AF74" s="120"/>
      <c r="AG74" s="121"/>
      <c r="AH74" s="119"/>
      <c r="AI74" s="119"/>
      <c r="AJ74" s="119"/>
      <c r="AK74" s="122"/>
    </row>
    <row r="75" spans="1:43" ht="15.75" x14ac:dyDescent="0.25">
      <c r="A75" s="7" t="s">
        <v>4</v>
      </c>
      <c r="B75" s="123">
        <v>225456</v>
      </c>
      <c r="C75" s="123">
        <v>240174</v>
      </c>
      <c r="D75" s="123">
        <v>234186</v>
      </c>
      <c r="E75" s="123">
        <v>231445</v>
      </c>
      <c r="F75" s="123">
        <v>242316</v>
      </c>
      <c r="G75" s="123">
        <v>229865</v>
      </c>
      <c r="H75" s="123">
        <v>235835</v>
      </c>
      <c r="I75" s="123">
        <v>241420</v>
      </c>
      <c r="J75" s="123">
        <v>231293</v>
      </c>
      <c r="K75" s="123">
        <v>236178</v>
      </c>
      <c r="L75" s="123">
        <v>233566</v>
      </c>
      <c r="M75" s="123">
        <v>239570</v>
      </c>
      <c r="N75" s="123">
        <v>273959</v>
      </c>
      <c r="O75" s="123">
        <v>250457</v>
      </c>
      <c r="P75" s="123">
        <v>238575</v>
      </c>
      <c r="Q75" s="123">
        <v>241843</v>
      </c>
      <c r="R75" s="123">
        <v>238408</v>
      </c>
      <c r="S75" s="123">
        <v>233622</v>
      </c>
      <c r="T75" s="123">
        <v>238969</v>
      </c>
      <c r="U75" s="123">
        <v>236664</v>
      </c>
      <c r="V75" s="123">
        <v>235904</v>
      </c>
      <c r="W75" s="123">
        <v>241963</v>
      </c>
      <c r="X75" s="123">
        <v>234306</v>
      </c>
      <c r="Y75" s="123">
        <v>239361</v>
      </c>
      <c r="Z75" s="123">
        <v>239028</v>
      </c>
      <c r="AA75" s="123">
        <v>246432</v>
      </c>
      <c r="AB75" s="123">
        <v>239452</v>
      </c>
      <c r="AC75" s="123">
        <v>239369</v>
      </c>
      <c r="AD75" s="123">
        <v>231319</v>
      </c>
      <c r="AE75" s="123">
        <v>235197</v>
      </c>
      <c r="AF75" s="124">
        <v>244753</v>
      </c>
      <c r="AG75" s="125">
        <v>230786</v>
      </c>
      <c r="AH75" s="123">
        <v>236626</v>
      </c>
      <c r="AI75" s="123">
        <v>231855</v>
      </c>
      <c r="AJ75" s="123">
        <v>240290</v>
      </c>
      <c r="AK75" s="126">
        <v>248029</v>
      </c>
    </row>
    <row r="76" spans="1:43" ht="15.75" x14ac:dyDescent="0.25">
      <c r="A76" s="7" t="s">
        <v>2</v>
      </c>
      <c r="B76" s="131">
        <v>128327716.52</v>
      </c>
      <c r="C76" s="131">
        <v>136548204.68000001</v>
      </c>
      <c r="D76" s="131">
        <v>133491273.47</v>
      </c>
      <c r="E76" s="131">
        <v>132336676.93000001</v>
      </c>
      <c r="F76" s="131">
        <v>141141319.03999999</v>
      </c>
      <c r="G76" s="131">
        <v>132114118.3</v>
      </c>
      <c r="H76" s="131">
        <v>135453170.31999999</v>
      </c>
      <c r="I76" s="131">
        <v>138733494.19</v>
      </c>
      <c r="J76" s="131">
        <v>137672914.02000001</v>
      </c>
      <c r="K76" s="131">
        <v>134251942.28</v>
      </c>
      <c r="L76" s="131">
        <v>134116439.61</v>
      </c>
      <c r="M76" s="131">
        <v>136885574.99000001</v>
      </c>
      <c r="N76" s="131">
        <v>142554680.81999999</v>
      </c>
      <c r="O76" s="131">
        <v>142775700.41</v>
      </c>
      <c r="P76" s="131">
        <v>136431991.84</v>
      </c>
      <c r="Q76" s="131">
        <v>142190326.06</v>
      </c>
      <c r="R76" s="131">
        <v>137965516.88999999</v>
      </c>
      <c r="S76" s="131">
        <v>135631590.19999999</v>
      </c>
      <c r="T76" s="131">
        <v>138975313.52000001</v>
      </c>
      <c r="U76" s="131">
        <v>136824129.74000001</v>
      </c>
      <c r="V76" s="131">
        <v>139179301.72999999</v>
      </c>
      <c r="W76" s="131">
        <v>138118428.5</v>
      </c>
      <c r="X76" s="131">
        <v>137543990.87</v>
      </c>
      <c r="Y76" s="131">
        <v>139780431.47999999</v>
      </c>
      <c r="Z76" s="131">
        <v>139628978.18000001</v>
      </c>
      <c r="AA76" s="131">
        <v>142886675</v>
      </c>
      <c r="AB76" s="131">
        <v>138474960.69</v>
      </c>
      <c r="AC76" s="131">
        <v>142519048.5</v>
      </c>
      <c r="AD76" s="131">
        <v>136017320.53999999</v>
      </c>
      <c r="AE76" s="131">
        <v>138509230</v>
      </c>
      <c r="AF76" s="132">
        <v>143697729.19</v>
      </c>
      <c r="AG76" s="133">
        <v>145087993.13</v>
      </c>
      <c r="AH76" s="134">
        <v>146966818.47</v>
      </c>
      <c r="AI76" s="134">
        <v>138582596.16</v>
      </c>
      <c r="AJ76" s="131">
        <v>144982848.19</v>
      </c>
      <c r="AK76" s="135">
        <v>148221953.22</v>
      </c>
    </row>
    <row r="77" spans="1:43" ht="15.75" x14ac:dyDescent="0.25">
      <c r="A77" s="19" t="s">
        <v>5</v>
      </c>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c r="AB77" s="119"/>
      <c r="AC77" s="119"/>
      <c r="AD77" s="119"/>
      <c r="AE77" s="119"/>
      <c r="AF77" s="120"/>
      <c r="AG77" s="121"/>
      <c r="AH77" s="119"/>
      <c r="AI77" s="119"/>
      <c r="AJ77" s="119"/>
      <c r="AK77" s="122"/>
    </row>
    <row r="78" spans="1:43" ht="15.75" x14ac:dyDescent="0.25">
      <c r="A78" s="7" t="s">
        <v>4</v>
      </c>
      <c r="B78" s="123">
        <v>39202</v>
      </c>
      <c r="C78" s="123">
        <v>42801</v>
      </c>
      <c r="D78" s="123">
        <v>41410</v>
      </c>
      <c r="E78" s="123">
        <v>36172</v>
      </c>
      <c r="F78" s="123">
        <v>37604</v>
      </c>
      <c r="G78" s="123">
        <v>34009</v>
      </c>
      <c r="H78" s="123">
        <v>34581</v>
      </c>
      <c r="I78" s="123">
        <v>36817</v>
      </c>
      <c r="J78" s="123">
        <v>34115</v>
      </c>
      <c r="K78" s="123">
        <v>32376</v>
      </c>
      <c r="L78" s="123">
        <v>35045</v>
      </c>
      <c r="M78" s="123">
        <v>35925</v>
      </c>
      <c r="N78" s="123">
        <v>31937</v>
      </c>
      <c r="O78" s="123">
        <v>34163</v>
      </c>
      <c r="P78" s="123">
        <v>32425</v>
      </c>
      <c r="Q78" s="123">
        <v>29136</v>
      </c>
      <c r="R78" s="123">
        <v>30767</v>
      </c>
      <c r="S78" s="123">
        <v>29781</v>
      </c>
      <c r="T78" s="123">
        <v>30590</v>
      </c>
      <c r="U78" s="123">
        <v>33160</v>
      </c>
      <c r="V78" s="123">
        <v>30730</v>
      </c>
      <c r="W78" s="123">
        <v>30533</v>
      </c>
      <c r="X78" s="123">
        <v>32069</v>
      </c>
      <c r="Y78" s="123">
        <v>29204</v>
      </c>
      <c r="Z78" s="123">
        <v>30770</v>
      </c>
      <c r="AA78" s="123">
        <v>32065</v>
      </c>
      <c r="AB78" s="123">
        <v>29395</v>
      </c>
      <c r="AC78" s="123">
        <v>27434</v>
      </c>
      <c r="AD78" s="123">
        <v>27953</v>
      </c>
      <c r="AE78" s="123">
        <v>28328</v>
      </c>
      <c r="AF78" s="124">
        <v>29206</v>
      </c>
      <c r="AG78" s="136">
        <v>36723</v>
      </c>
      <c r="AH78" s="137">
        <v>41294</v>
      </c>
      <c r="AI78" s="137">
        <v>47801</v>
      </c>
      <c r="AJ78" s="123">
        <v>49184</v>
      </c>
      <c r="AK78" s="126">
        <v>46340</v>
      </c>
    </row>
    <row r="79" spans="1:43" ht="15.75" x14ac:dyDescent="0.25">
      <c r="A79" s="7" t="s">
        <v>2</v>
      </c>
      <c r="B79" s="131">
        <v>25569351.84</v>
      </c>
      <c r="C79" s="131">
        <v>27971256.260000002</v>
      </c>
      <c r="D79" s="131">
        <v>27392533.210000001</v>
      </c>
      <c r="E79" s="131">
        <v>23638040.82</v>
      </c>
      <c r="F79" s="131">
        <v>25386666.309999999</v>
      </c>
      <c r="G79" s="131">
        <v>22980629.539999999</v>
      </c>
      <c r="H79" s="131">
        <v>23286474.850000001</v>
      </c>
      <c r="I79" s="131">
        <v>24930523.07</v>
      </c>
      <c r="J79" s="131">
        <v>24329130.469999999</v>
      </c>
      <c r="K79" s="131">
        <v>21217350.460000001</v>
      </c>
      <c r="L79" s="131">
        <v>23371809.02</v>
      </c>
      <c r="M79" s="131">
        <v>24172796.02</v>
      </c>
      <c r="N79" s="131">
        <v>21243454.399999999</v>
      </c>
      <c r="O79" s="131">
        <v>23896389.34</v>
      </c>
      <c r="P79" s="131">
        <v>22570289.440000001</v>
      </c>
      <c r="Q79" s="131">
        <v>20288266.510000002</v>
      </c>
      <c r="R79" s="131">
        <v>21698157.390000001</v>
      </c>
      <c r="S79" s="131">
        <v>20565616.949999999</v>
      </c>
      <c r="T79" s="131">
        <v>21830951.510000002</v>
      </c>
      <c r="U79" s="131">
        <v>23246448.34</v>
      </c>
      <c r="V79" s="131">
        <v>22070861.309999999</v>
      </c>
      <c r="W79" s="131">
        <v>21506749.899999999</v>
      </c>
      <c r="X79" s="131">
        <v>23539386.129999999</v>
      </c>
      <c r="Y79" s="131">
        <v>21173615.899999999</v>
      </c>
      <c r="Z79" s="131">
        <v>22643900.620000001</v>
      </c>
      <c r="AA79" s="131">
        <v>23381338.02</v>
      </c>
      <c r="AB79" s="131">
        <v>21949354.649999999</v>
      </c>
      <c r="AC79" s="131">
        <v>20846388.710000001</v>
      </c>
      <c r="AD79" s="131">
        <v>20836641.27</v>
      </c>
      <c r="AE79" s="131">
        <v>21401643.59</v>
      </c>
      <c r="AF79" s="132">
        <v>22378722</v>
      </c>
      <c r="AG79" s="138">
        <v>27859295.949999999</v>
      </c>
      <c r="AH79" s="139">
        <v>18671987.109999999</v>
      </c>
      <c r="AI79" s="139">
        <v>21451226.449999999</v>
      </c>
      <c r="AJ79" s="140">
        <v>22481846.390000001</v>
      </c>
      <c r="AK79" s="141">
        <v>20877702.449999999</v>
      </c>
    </row>
    <row r="80" spans="1:43" ht="15.75" hidden="1" x14ac:dyDescent="0.25">
      <c r="A80" s="19" t="s">
        <v>6</v>
      </c>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c r="AE80" s="119"/>
      <c r="AF80" s="120"/>
      <c r="AG80" s="121"/>
      <c r="AH80" s="119"/>
      <c r="AI80" s="119"/>
      <c r="AJ80" s="119"/>
      <c r="AK80" s="122"/>
    </row>
    <row r="81" spans="1:43" ht="15.75" hidden="1" x14ac:dyDescent="0.25">
      <c r="A81" s="7" t="s">
        <v>4</v>
      </c>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123"/>
      <c r="AD81" s="123"/>
      <c r="AE81" s="123"/>
      <c r="AF81" s="124"/>
      <c r="AG81" s="136"/>
      <c r="AH81" s="137"/>
      <c r="AI81" s="137"/>
      <c r="AJ81" s="123"/>
      <c r="AK81" s="126"/>
    </row>
    <row r="82" spans="1:43" ht="15.75" hidden="1" x14ac:dyDescent="0.25">
      <c r="A82" s="7" t="s">
        <v>2</v>
      </c>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123"/>
      <c r="AD82" s="123"/>
      <c r="AE82" s="123"/>
      <c r="AF82" s="124"/>
      <c r="AG82" s="136"/>
      <c r="AH82" s="137"/>
      <c r="AI82" s="137"/>
      <c r="AJ82" s="123"/>
      <c r="AK82" s="126"/>
    </row>
    <row r="83" spans="1:43" ht="15.75" x14ac:dyDescent="0.25">
      <c r="A83" s="19" t="s">
        <v>82</v>
      </c>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3"/>
      <c r="AG83" s="136"/>
      <c r="AH83" s="137"/>
      <c r="AI83" s="137"/>
      <c r="AJ83" s="137"/>
      <c r="AK83" s="144"/>
    </row>
    <row r="84" spans="1:43" ht="15.75" x14ac:dyDescent="0.25">
      <c r="A84" s="7" t="s">
        <v>11</v>
      </c>
      <c r="B84" s="145">
        <v>4114</v>
      </c>
      <c r="C84" s="145">
        <v>4457</v>
      </c>
      <c r="D84" s="145">
        <v>4197</v>
      </c>
      <c r="E84" s="145">
        <v>3533</v>
      </c>
      <c r="F84" s="145">
        <v>4209</v>
      </c>
      <c r="G84" s="145">
        <v>3361</v>
      </c>
      <c r="H84" s="145">
        <v>3372</v>
      </c>
      <c r="I84" s="145">
        <v>3631</v>
      </c>
      <c r="J84" s="145">
        <v>3064</v>
      </c>
      <c r="K84" s="145">
        <v>2660</v>
      </c>
      <c r="L84" s="145">
        <v>2658</v>
      </c>
      <c r="M84" s="145">
        <v>3231</v>
      </c>
      <c r="N84" s="145">
        <v>2997</v>
      </c>
      <c r="O84" s="145">
        <v>4048</v>
      </c>
      <c r="P84" s="145">
        <v>3673</v>
      </c>
      <c r="Q84" s="145">
        <v>3791</v>
      </c>
      <c r="R84" s="145">
        <v>4306</v>
      </c>
      <c r="S84" s="145">
        <v>3708</v>
      </c>
      <c r="T84" s="145">
        <v>4065</v>
      </c>
      <c r="U84" s="145">
        <v>4046</v>
      </c>
      <c r="V84" s="145">
        <v>3549</v>
      </c>
      <c r="W84" s="145">
        <v>4005</v>
      </c>
      <c r="X84" s="145">
        <v>3807</v>
      </c>
      <c r="Y84" s="145">
        <v>3811</v>
      </c>
      <c r="Z84" s="145">
        <v>3844</v>
      </c>
      <c r="AA84" s="145">
        <v>4631</v>
      </c>
      <c r="AB84" s="145">
        <v>4165</v>
      </c>
      <c r="AC84" s="145">
        <v>3924</v>
      </c>
      <c r="AD84" s="145">
        <v>4659</v>
      </c>
      <c r="AE84" s="145">
        <v>4024</v>
      </c>
      <c r="AF84" s="146">
        <v>4297</v>
      </c>
      <c r="AG84" s="147">
        <v>1366</v>
      </c>
      <c r="AH84" s="148">
        <v>1327</v>
      </c>
      <c r="AI84" s="148">
        <v>1855</v>
      </c>
      <c r="AJ84" s="123">
        <v>1212</v>
      </c>
      <c r="AK84" s="126">
        <v>933</v>
      </c>
    </row>
    <row r="85" spans="1:43" ht="16.5" thickBot="1" x14ac:dyDescent="0.3">
      <c r="A85" s="7" t="s">
        <v>10</v>
      </c>
      <c r="B85" s="131">
        <v>3130744.31</v>
      </c>
      <c r="C85" s="131">
        <v>4735395.0199999996</v>
      </c>
      <c r="D85" s="131">
        <v>3527746.77</v>
      </c>
      <c r="E85" s="131">
        <v>3260437.44</v>
      </c>
      <c r="F85" s="131">
        <v>3573225.71</v>
      </c>
      <c r="G85" s="131">
        <v>2903637</v>
      </c>
      <c r="H85" s="131">
        <v>3278705.39</v>
      </c>
      <c r="I85" s="131">
        <v>3194966</v>
      </c>
      <c r="J85" s="131">
        <v>2880695.8</v>
      </c>
      <c r="K85" s="131">
        <v>2561472.7599999998</v>
      </c>
      <c r="L85" s="131">
        <v>3071551.76</v>
      </c>
      <c r="M85" s="131">
        <v>2830937.34</v>
      </c>
      <c r="N85" s="131">
        <v>3270343.87</v>
      </c>
      <c r="O85" s="131">
        <v>3539765.43</v>
      </c>
      <c r="P85" s="131">
        <v>3275926.68</v>
      </c>
      <c r="Q85" s="131">
        <v>3768433.65</v>
      </c>
      <c r="R85" s="131">
        <v>3592122.09</v>
      </c>
      <c r="S85" s="131">
        <v>3297615.47</v>
      </c>
      <c r="T85" s="131">
        <v>3606353.33</v>
      </c>
      <c r="U85" s="131">
        <v>3483502.53</v>
      </c>
      <c r="V85" s="131">
        <v>3284663.2</v>
      </c>
      <c r="W85" s="131">
        <v>3505565.97</v>
      </c>
      <c r="X85" s="131">
        <v>3329734.18</v>
      </c>
      <c r="Y85" s="131">
        <v>3340548.48</v>
      </c>
      <c r="Z85" s="131">
        <v>3549409.77</v>
      </c>
      <c r="AA85" s="131">
        <v>3956348.94</v>
      </c>
      <c r="AB85" s="131">
        <v>3676400.2</v>
      </c>
      <c r="AC85" s="131">
        <v>3471892.18</v>
      </c>
      <c r="AD85" s="131">
        <v>3863581.1</v>
      </c>
      <c r="AE85" s="131">
        <v>3407334.12</v>
      </c>
      <c r="AF85" s="132">
        <v>4167725.25</v>
      </c>
      <c r="AG85" s="138">
        <v>602777.73</v>
      </c>
      <c r="AH85" s="139">
        <v>670656.23</v>
      </c>
      <c r="AI85" s="139">
        <v>1038705.38</v>
      </c>
      <c r="AJ85" s="140">
        <v>626315.1</v>
      </c>
      <c r="AK85" s="141">
        <v>429540.13</v>
      </c>
    </row>
    <row r="86" spans="1:43" ht="15.75" hidden="1" x14ac:dyDescent="0.25">
      <c r="A86" s="7" t="s">
        <v>14</v>
      </c>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c r="AD86" s="137"/>
      <c r="AE86" s="137"/>
      <c r="AF86" s="149"/>
      <c r="AG86" s="136"/>
      <c r="AH86" s="137"/>
      <c r="AI86" s="137"/>
      <c r="AJ86" s="137"/>
      <c r="AK86" s="144"/>
    </row>
    <row r="87" spans="1:43" ht="15.75" hidden="1" x14ac:dyDescent="0.25">
      <c r="A87" s="7" t="s">
        <v>15</v>
      </c>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49"/>
      <c r="AG87" s="136"/>
      <c r="AH87" s="137"/>
      <c r="AI87" s="137"/>
      <c r="AJ87" s="137"/>
      <c r="AK87" s="144"/>
    </row>
    <row r="88" spans="1:43" ht="15.75" hidden="1" x14ac:dyDescent="0.25">
      <c r="A88" s="7" t="s">
        <v>69</v>
      </c>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c r="AA88" s="137"/>
      <c r="AB88" s="137"/>
      <c r="AC88" s="137"/>
      <c r="AD88" s="137"/>
      <c r="AE88" s="137"/>
      <c r="AF88" s="149"/>
      <c r="AG88" s="136"/>
      <c r="AH88" s="137"/>
      <c r="AI88" s="137"/>
      <c r="AJ88" s="137"/>
      <c r="AK88" s="144"/>
    </row>
    <row r="89" spans="1:43" ht="16.5" hidden="1" thickBot="1" x14ac:dyDescent="0.3">
      <c r="A89" s="15" t="s">
        <v>70</v>
      </c>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1"/>
      <c r="AG89" s="152"/>
      <c r="AH89" s="150"/>
      <c r="AI89" s="150"/>
      <c r="AJ89" s="150"/>
      <c r="AK89" s="153"/>
    </row>
    <row r="90" spans="1:43" ht="15.75" x14ac:dyDescent="0.25">
      <c r="A90" s="23" t="s">
        <v>9</v>
      </c>
      <c r="B90" s="99"/>
      <c r="C90" s="99"/>
      <c r="D90" s="99"/>
      <c r="E90" s="99"/>
      <c r="F90" s="99"/>
      <c r="G90" s="99"/>
      <c r="H90" s="99"/>
      <c r="I90" s="99"/>
      <c r="J90" s="99"/>
      <c r="K90" s="99"/>
      <c r="L90" s="99"/>
      <c r="M90" s="99"/>
      <c r="N90" s="99"/>
      <c r="O90" s="99"/>
      <c r="P90" s="99"/>
      <c r="Q90" s="99"/>
      <c r="R90" s="99"/>
      <c r="S90" s="99"/>
      <c r="T90" s="99"/>
      <c r="U90" s="99"/>
      <c r="V90" s="99"/>
      <c r="W90" s="99"/>
      <c r="X90" s="99"/>
      <c r="Y90" s="99"/>
      <c r="Z90" s="99"/>
      <c r="AA90" s="99"/>
      <c r="AB90" s="99"/>
      <c r="AC90" s="99"/>
      <c r="AD90" s="99"/>
      <c r="AE90" s="99"/>
      <c r="AF90" s="100"/>
      <c r="AG90" s="101"/>
      <c r="AH90" s="99"/>
      <c r="AI90" s="99"/>
      <c r="AJ90" s="99"/>
      <c r="AK90" s="102"/>
    </row>
    <row r="91" spans="1:43" ht="15.75" x14ac:dyDescent="0.25">
      <c r="A91" s="7" t="s">
        <v>63</v>
      </c>
      <c r="B91" s="123">
        <v>2272</v>
      </c>
      <c r="C91" s="123">
        <v>4153</v>
      </c>
      <c r="D91" s="123">
        <v>4124</v>
      </c>
      <c r="E91" s="123">
        <v>4126</v>
      </c>
      <c r="F91" s="123">
        <v>4402</v>
      </c>
      <c r="G91" s="123">
        <v>4064</v>
      </c>
      <c r="H91" s="123">
        <v>4100</v>
      </c>
      <c r="I91" s="123">
        <v>3942</v>
      </c>
      <c r="J91" s="123">
        <v>3461</v>
      </c>
      <c r="K91" s="123">
        <v>4007</v>
      </c>
      <c r="L91" s="123">
        <v>3489</v>
      </c>
      <c r="M91" s="123">
        <v>3726</v>
      </c>
      <c r="N91" s="123">
        <v>4246</v>
      </c>
      <c r="O91" s="123">
        <v>4013</v>
      </c>
      <c r="P91" s="123">
        <v>3524</v>
      </c>
      <c r="Q91" s="123">
        <v>3624</v>
      </c>
      <c r="R91" s="123">
        <v>3603</v>
      </c>
      <c r="S91" s="123">
        <v>3563</v>
      </c>
      <c r="T91" s="123">
        <v>4166</v>
      </c>
      <c r="U91" s="123">
        <v>3781</v>
      </c>
      <c r="V91" s="123">
        <v>3482</v>
      </c>
      <c r="W91" s="123">
        <v>3839</v>
      </c>
      <c r="X91" s="123">
        <v>3541</v>
      </c>
      <c r="Y91" s="123">
        <v>3658</v>
      </c>
      <c r="Z91" s="123">
        <v>3625</v>
      </c>
      <c r="AA91" s="123">
        <v>3764</v>
      </c>
      <c r="AB91" s="123">
        <v>3454</v>
      </c>
      <c r="AC91" s="123">
        <v>3669</v>
      </c>
      <c r="AD91" s="123">
        <v>3367</v>
      </c>
      <c r="AE91" s="123">
        <v>3566</v>
      </c>
      <c r="AF91" s="124">
        <v>4148</v>
      </c>
      <c r="AG91" s="136">
        <v>11383</v>
      </c>
      <c r="AH91" s="137">
        <v>12146</v>
      </c>
      <c r="AI91" s="137">
        <v>8679</v>
      </c>
      <c r="AJ91" s="123">
        <v>7534</v>
      </c>
      <c r="AK91" s="126">
        <v>5092</v>
      </c>
    </row>
    <row r="92" spans="1:43" ht="15.75" x14ac:dyDescent="0.25">
      <c r="A92" s="7" t="s">
        <v>64</v>
      </c>
      <c r="B92" s="131">
        <v>1568000.68</v>
      </c>
      <c r="C92" s="131">
        <v>2833960.25</v>
      </c>
      <c r="D92" s="131">
        <v>2737466.87</v>
      </c>
      <c r="E92" s="131">
        <v>2777611.04</v>
      </c>
      <c r="F92" s="131">
        <v>3028097.36</v>
      </c>
      <c r="G92" s="131">
        <v>2853205.49</v>
      </c>
      <c r="H92" s="131">
        <v>2913473.56</v>
      </c>
      <c r="I92" s="131">
        <v>2898770.76</v>
      </c>
      <c r="J92" s="131">
        <v>2307802.7599999998</v>
      </c>
      <c r="K92" s="131">
        <v>2675589.0299999998</v>
      </c>
      <c r="L92" s="131">
        <v>2289659.71</v>
      </c>
      <c r="M92" s="131">
        <v>2399276.94</v>
      </c>
      <c r="N92" s="131">
        <v>2799270.97</v>
      </c>
      <c r="O92" s="131">
        <v>2629660.02</v>
      </c>
      <c r="P92" s="131">
        <v>2283631.5099999998</v>
      </c>
      <c r="Q92" s="131">
        <v>2542882.9900000002</v>
      </c>
      <c r="R92" s="131">
        <v>2446501.12</v>
      </c>
      <c r="S92" s="131">
        <v>2390790.62</v>
      </c>
      <c r="T92" s="131">
        <v>2652712.58</v>
      </c>
      <c r="U92" s="131">
        <v>2476666.81</v>
      </c>
      <c r="V92" s="131">
        <v>2287260.86</v>
      </c>
      <c r="W92" s="131">
        <v>2737904.01</v>
      </c>
      <c r="X92" s="131">
        <v>2508890.86</v>
      </c>
      <c r="Y92" s="131">
        <v>2470424.1</v>
      </c>
      <c r="Z92" s="131">
        <v>2586237.62</v>
      </c>
      <c r="AA92" s="131">
        <v>2671550.54</v>
      </c>
      <c r="AB92" s="131">
        <v>2512884.7799999998</v>
      </c>
      <c r="AC92" s="131">
        <v>2577156.71</v>
      </c>
      <c r="AD92" s="131">
        <v>2428459.3199999998</v>
      </c>
      <c r="AE92" s="131">
        <v>2520391.29</v>
      </c>
      <c r="AF92" s="132">
        <v>2832343.88</v>
      </c>
      <c r="AG92" s="154">
        <v>32683765.870000001</v>
      </c>
      <c r="AH92" s="131">
        <v>108106008.14</v>
      </c>
      <c r="AI92" s="131">
        <v>32206465.760000002</v>
      </c>
      <c r="AJ92" s="131">
        <v>11741146.460000001</v>
      </c>
      <c r="AK92" s="135">
        <v>5736977.0599999996</v>
      </c>
    </row>
    <row r="93" spans="1:43" ht="15.75" x14ac:dyDescent="0.25">
      <c r="A93" s="7" t="s">
        <v>68</v>
      </c>
      <c r="B93" s="123">
        <v>1467</v>
      </c>
      <c r="C93" s="123">
        <v>2839</v>
      </c>
      <c r="D93" s="123">
        <v>2900</v>
      </c>
      <c r="E93" s="123">
        <v>2909</v>
      </c>
      <c r="F93" s="123">
        <v>3024</v>
      </c>
      <c r="G93" s="123">
        <v>2793</v>
      </c>
      <c r="H93" s="123">
        <v>2694</v>
      </c>
      <c r="I93" s="123">
        <v>2590</v>
      </c>
      <c r="J93" s="123">
        <v>2275</v>
      </c>
      <c r="K93" s="123">
        <v>2723</v>
      </c>
      <c r="L93" s="123">
        <v>2268</v>
      </c>
      <c r="M93" s="123">
        <v>2432</v>
      </c>
      <c r="N93" s="123">
        <v>2714</v>
      </c>
      <c r="O93" s="123">
        <v>2519</v>
      </c>
      <c r="P93" s="123">
        <v>2266</v>
      </c>
      <c r="Q93" s="123">
        <v>2301</v>
      </c>
      <c r="R93" s="123">
        <v>2312</v>
      </c>
      <c r="S93" s="123">
        <v>2283</v>
      </c>
      <c r="T93" s="123">
        <v>2866</v>
      </c>
      <c r="U93" s="123">
        <v>2444</v>
      </c>
      <c r="V93" s="123">
        <v>2230</v>
      </c>
      <c r="W93" s="123">
        <v>2549</v>
      </c>
      <c r="X93" s="123">
        <v>2291</v>
      </c>
      <c r="Y93" s="123">
        <v>2299</v>
      </c>
      <c r="Z93" s="123">
        <v>2421</v>
      </c>
      <c r="AA93" s="123">
        <v>2412</v>
      </c>
      <c r="AB93" s="123">
        <v>2207</v>
      </c>
      <c r="AC93" s="123">
        <v>2240</v>
      </c>
      <c r="AD93" s="123">
        <v>2092</v>
      </c>
      <c r="AE93" s="123">
        <v>2277</v>
      </c>
      <c r="AF93" s="124">
        <v>2748</v>
      </c>
      <c r="AG93" s="136">
        <v>7518</v>
      </c>
      <c r="AH93" s="137">
        <v>7817</v>
      </c>
      <c r="AI93" s="137">
        <v>5829</v>
      </c>
      <c r="AJ93" s="123">
        <v>5104</v>
      </c>
      <c r="AK93" s="126">
        <v>3273</v>
      </c>
    </row>
    <row r="94" spans="1:43" ht="16.5" thickBot="1" x14ac:dyDescent="0.3">
      <c r="A94" s="15" t="s">
        <v>67</v>
      </c>
      <c r="B94" s="155">
        <f t="shared" ref="B94:AJ94" si="19">B93/B72</f>
        <v>1.7922591995308605E-2</v>
      </c>
      <c r="C94" s="155">
        <f t="shared" si="19"/>
        <v>3.2491016045228777E-2</v>
      </c>
      <c r="D94" s="155">
        <f t="shared" si="19"/>
        <v>3.5432397429318474E-2</v>
      </c>
      <c r="E94" s="155">
        <f t="shared" si="19"/>
        <v>3.7544203815079634E-2</v>
      </c>
      <c r="F94" s="155">
        <f t="shared" si="19"/>
        <v>3.905009103939875E-2</v>
      </c>
      <c r="G94" s="155">
        <f t="shared" si="19"/>
        <v>4.0957883622712341E-2</v>
      </c>
      <c r="H94" s="155">
        <f t="shared" si="19"/>
        <v>3.840068419927304E-2</v>
      </c>
      <c r="I94" s="155">
        <f t="shared" si="19"/>
        <v>3.616762787839857E-2</v>
      </c>
      <c r="J94" s="155">
        <f t="shared" si="19"/>
        <v>3.3956744331835757E-2</v>
      </c>
      <c r="K94" s="155">
        <f t="shared" si="19"/>
        <v>4.0805622574215883E-2</v>
      </c>
      <c r="L94" s="155">
        <f t="shared" si="19"/>
        <v>3.4517395671628162E-2</v>
      </c>
      <c r="M94" s="155">
        <f t="shared" si="19"/>
        <v>3.6609965377088667E-2</v>
      </c>
      <c r="N94" s="155">
        <f t="shared" si="19"/>
        <v>3.9532715725688984E-2</v>
      </c>
      <c r="O94" s="155">
        <f t="shared" si="19"/>
        <v>3.7865464111236376E-2</v>
      </c>
      <c r="P94" s="155">
        <f t="shared" si="19"/>
        <v>3.7426707407713269E-2</v>
      </c>
      <c r="Q94" s="155">
        <f t="shared" si="19"/>
        <v>3.8021745596351499E-2</v>
      </c>
      <c r="R94" s="155">
        <f t="shared" si="19"/>
        <v>3.8182058396089312E-2</v>
      </c>
      <c r="S94" s="155">
        <f t="shared" si="19"/>
        <v>3.9412353692642337E-2</v>
      </c>
      <c r="T94" s="155">
        <f t="shared" si="19"/>
        <v>4.7136607348442487E-2</v>
      </c>
      <c r="U94" s="155">
        <f t="shared" si="19"/>
        <v>4.0175562605822494E-2</v>
      </c>
      <c r="V94" s="155">
        <f t="shared" si="19"/>
        <v>3.7100504101019845E-2</v>
      </c>
      <c r="W94" s="155">
        <f t="shared" si="19"/>
        <v>4.148087876322213E-2</v>
      </c>
      <c r="X94" s="155">
        <f t="shared" si="19"/>
        <v>3.8056478405315612E-2</v>
      </c>
      <c r="Y94" s="155">
        <f t="shared" si="19"/>
        <v>3.7968620974401318E-2</v>
      </c>
      <c r="Z94" s="155">
        <f t="shared" si="19"/>
        <v>4.0497139607239635E-2</v>
      </c>
      <c r="AA94" s="155">
        <f t="shared" si="19"/>
        <v>3.9289786610197101E-2</v>
      </c>
      <c r="AB94" s="155">
        <f t="shared" si="19"/>
        <v>3.8233663640773338E-2</v>
      </c>
      <c r="AC94" s="155">
        <f t="shared" si="19"/>
        <v>3.9096589520717699E-2</v>
      </c>
      <c r="AD94" s="155">
        <f t="shared" si="19"/>
        <v>3.7787652180195801E-2</v>
      </c>
      <c r="AE94" s="155">
        <f t="shared" si="19"/>
        <v>4.0871641148067704E-2</v>
      </c>
      <c r="AF94" s="156">
        <f t="shared" si="19"/>
        <v>4.6945469454694549E-2</v>
      </c>
      <c r="AG94" s="157">
        <f t="shared" si="19"/>
        <v>8.7284632889054012E-2</v>
      </c>
      <c r="AH94" s="155">
        <f t="shared" si="19"/>
        <v>8.2897653159697549E-2</v>
      </c>
      <c r="AI94" s="155">
        <f t="shared" si="19"/>
        <v>6.2573802520557359E-2</v>
      </c>
      <c r="AJ94" s="155">
        <f t="shared" si="19"/>
        <v>5.2574112605838365E-2</v>
      </c>
      <c r="AK94" s="158">
        <f>AK93/AK72</f>
        <v>3.2964044717494208E-2</v>
      </c>
      <c r="AQ94" s="6"/>
    </row>
    <row r="95" spans="1:43" x14ac:dyDescent="0.25">
      <c r="B95" s="28" t="s">
        <v>87</v>
      </c>
    </row>
    <row r="96" spans="1:43" x14ac:dyDescent="0.25">
      <c r="B96" s="36" t="s">
        <v>88</v>
      </c>
    </row>
    <row r="97" spans="2:38" x14ac:dyDescent="0.25">
      <c r="B97" s="36" t="s">
        <v>89</v>
      </c>
    </row>
    <row r="98" spans="2:38" x14ac:dyDescent="0.25">
      <c r="B98" s="36" t="s">
        <v>90</v>
      </c>
    </row>
    <row r="99" spans="2:38" x14ac:dyDescent="0.25">
      <c r="B99"/>
      <c r="AG99" s="24">
        <v>6437.37</v>
      </c>
      <c r="AH99" s="24">
        <v>7534.07</v>
      </c>
      <c r="AI99" s="24">
        <v>28596.58</v>
      </c>
      <c r="AJ99" s="24">
        <v>56883.29</v>
      </c>
      <c r="AK99" s="24">
        <v>133974.17000000001</v>
      </c>
      <c r="AL99" t="s">
        <v>77</v>
      </c>
    </row>
    <row r="100" spans="2:38" x14ac:dyDescent="0.25">
      <c r="B100"/>
      <c r="AG100" s="24">
        <v>12013.34</v>
      </c>
      <c r="AH100" s="24">
        <v>37749.83</v>
      </c>
      <c r="AI100" s="24">
        <v>139503.70000000001</v>
      </c>
      <c r="AJ100" s="24">
        <v>4242.32</v>
      </c>
      <c r="AK100" s="24">
        <v>291011.34000000003</v>
      </c>
      <c r="AL100" t="s">
        <v>75</v>
      </c>
    </row>
    <row r="101" spans="2:38" x14ac:dyDescent="0.25">
      <c r="AG101" s="24">
        <v>14230.59</v>
      </c>
      <c r="AH101" s="24">
        <v>14440.65</v>
      </c>
      <c r="AI101" s="24">
        <v>60600.88</v>
      </c>
      <c r="AJ101" s="24">
        <v>26692.48</v>
      </c>
      <c r="AK101" s="24">
        <v>90039.6</v>
      </c>
      <c r="AL101" t="s">
        <v>76</v>
      </c>
    </row>
    <row r="102" spans="2:38" x14ac:dyDescent="0.25">
      <c r="AG102" s="24">
        <v>5387.79</v>
      </c>
      <c r="AH102" s="24">
        <v>13086.59</v>
      </c>
      <c r="AI102" s="24">
        <v>114913.19</v>
      </c>
      <c r="AJ102" s="24">
        <v>150943.71</v>
      </c>
      <c r="AK102" s="24">
        <v>299628.78999999998</v>
      </c>
      <c r="AL102" t="s">
        <v>78</v>
      </c>
    </row>
    <row r="103" spans="2:38" x14ac:dyDescent="0.25">
      <c r="AG103" s="24">
        <v>772</v>
      </c>
      <c r="AH103" s="24">
        <v>568.70000000000005</v>
      </c>
      <c r="AI103" s="25">
        <v>22450418.93</v>
      </c>
      <c r="AJ103" s="24">
        <v>2418714.7799999998</v>
      </c>
      <c r="AK103" s="24">
        <v>378771.51</v>
      </c>
      <c r="AL103" t="s">
        <v>73</v>
      </c>
    </row>
    <row r="104" spans="2:38" x14ac:dyDescent="0.25">
      <c r="AG104" s="24">
        <v>10594.04</v>
      </c>
      <c r="AH104" s="24">
        <v>108031.61</v>
      </c>
      <c r="AI104" s="24">
        <v>211363.13</v>
      </c>
      <c r="AJ104" s="24">
        <v>194537.23</v>
      </c>
      <c r="AK104" s="24">
        <v>148996.97</v>
      </c>
      <c r="AL104" t="s">
        <v>74</v>
      </c>
    </row>
    <row r="106" spans="2:38" x14ac:dyDescent="0.25">
      <c r="B106" s="24">
        <f>(B49*1000000-SUM(B97:B104))/1000000</f>
        <v>8.7067646099999987</v>
      </c>
      <c r="C106" s="24">
        <f t="shared" ref="C106:AK106" si="20">(C49*1000000-SUM(C99:C104))/1000000</f>
        <v>9.036498550000001</v>
      </c>
      <c r="D106" s="24">
        <f t="shared" si="20"/>
        <v>8.3347179300000001</v>
      </c>
      <c r="E106" s="24">
        <f t="shared" si="20"/>
        <v>8.7100583900000004</v>
      </c>
      <c r="F106" s="24">
        <f t="shared" si="20"/>
        <v>9.2348441799999996</v>
      </c>
      <c r="G106" s="24">
        <f t="shared" si="20"/>
        <v>9.7421072300000002</v>
      </c>
      <c r="H106" s="24">
        <f t="shared" si="20"/>
        <v>10.933400000000001</v>
      </c>
      <c r="I106" s="24">
        <f t="shared" si="20"/>
        <v>10.502178970000001</v>
      </c>
      <c r="J106" s="24">
        <f t="shared" si="20"/>
        <v>7.8682828499999999</v>
      </c>
      <c r="K106" s="24">
        <f t="shared" si="20"/>
        <v>10.13549319</v>
      </c>
      <c r="L106" s="24">
        <f t="shared" si="20"/>
        <v>9.3171744399999987</v>
      </c>
      <c r="M106" s="24">
        <f t="shared" si="20"/>
        <v>9.4781005199999999</v>
      </c>
      <c r="N106" s="24">
        <f t="shared" si="20"/>
        <v>9.7180216700000006</v>
      </c>
      <c r="O106" s="24">
        <f t="shared" si="20"/>
        <v>10.10022232</v>
      </c>
      <c r="P106" s="24">
        <f t="shared" si="20"/>
        <v>9.4635639499999993</v>
      </c>
      <c r="Q106" s="24">
        <f t="shared" si="20"/>
        <v>9.9279269800000005</v>
      </c>
      <c r="R106" s="24">
        <f t="shared" si="20"/>
        <v>9.0457669799999998</v>
      </c>
      <c r="S106" s="24">
        <f t="shared" si="20"/>
        <v>9.9481642699999995</v>
      </c>
      <c r="T106" s="24">
        <f t="shared" si="20"/>
        <v>11.397136609999999</v>
      </c>
      <c r="U106" s="24">
        <f t="shared" si="20"/>
        <v>9.5507501500000007</v>
      </c>
      <c r="V106" s="24">
        <f t="shared" si="20"/>
        <v>8.3353012399999997</v>
      </c>
      <c r="W106" s="24">
        <f t="shared" si="20"/>
        <v>9.3933442200000012</v>
      </c>
      <c r="X106" s="24">
        <f t="shared" si="20"/>
        <v>8.9962818800000015</v>
      </c>
      <c r="Y106" s="24">
        <f t="shared" si="20"/>
        <v>9.0610510899999994</v>
      </c>
      <c r="Z106" s="24">
        <f t="shared" si="20"/>
        <v>9.1124448299999994</v>
      </c>
      <c r="AA106" s="24">
        <f t="shared" si="20"/>
        <v>9.4786118699999999</v>
      </c>
      <c r="AB106" s="24">
        <f t="shared" si="20"/>
        <v>9.8006657799999992</v>
      </c>
      <c r="AC106" s="24">
        <f t="shared" si="20"/>
        <v>10.50845475</v>
      </c>
      <c r="AD106" s="24">
        <f t="shared" si="20"/>
        <v>10.14288545</v>
      </c>
      <c r="AE106" s="24">
        <f t="shared" si="20"/>
        <v>12.932139810000001</v>
      </c>
      <c r="AF106" s="24">
        <f t="shared" si="20"/>
        <v>12.012671189999999</v>
      </c>
      <c r="AG106" s="24">
        <f t="shared" si="20"/>
        <v>17.750564870000002</v>
      </c>
      <c r="AH106" s="24">
        <f t="shared" si="20"/>
        <v>46.018588549999997</v>
      </c>
      <c r="AI106" s="24">
        <f t="shared" si="20"/>
        <v>20.794603590000001</v>
      </c>
      <c r="AJ106" s="24">
        <f t="shared" si="20"/>
        <v>27.04798619</v>
      </c>
      <c r="AK106" s="24">
        <f t="shared" si="20"/>
        <v>18.257577619999999</v>
      </c>
    </row>
    <row r="108" spans="2:38" x14ac:dyDescent="0.25">
      <c r="AG108" s="2">
        <v>5</v>
      </c>
      <c r="AH108" s="2">
        <v>12</v>
      </c>
      <c r="AI108" s="2">
        <v>27</v>
      </c>
      <c r="AJ108" s="2">
        <v>56</v>
      </c>
      <c r="AK108" s="2">
        <v>92</v>
      </c>
      <c r="AL108" t="s">
        <v>77</v>
      </c>
    </row>
    <row r="109" spans="2:38" x14ac:dyDescent="0.25">
      <c r="AG109" s="2">
        <v>16</v>
      </c>
      <c r="AH109" s="2">
        <v>43</v>
      </c>
      <c r="AI109" s="2">
        <v>84</v>
      </c>
      <c r="AJ109" s="2">
        <v>6</v>
      </c>
      <c r="AK109" s="2">
        <v>146</v>
      </c>
      <c r="AL109" t="s">
        <v>75</v>
      </c>
    </row>
    <row r="110" spans="2:38" x14ac:dyDescent="0.25">
      <c r="AG110" s="2">
        <v>6</v>
      </c>
      <c r="AH110" s="2">
        <v>16</v>
      </c>
      <c r="AI110" s="2">
        <v>56</v>
      </c>
      <c r="AJ110" s="2">
        <v>39</v>
      </c>
      <c r="AK110" s="2">
        <v>63</v>
      </c>
      <c r="AL110" t="s">
        <v>76</v>
      </c>
    </row>
    <row r="111" spans="2:38" x14ac:dyDescent="0.25">
      <c r="AG111" s="2">
        <v>12</v>
      </c>
      <c r="AH111" s="2">
        <v>23</v>
      </c>
      <c r="AI111" s="2">
        <v>70</v>
      </c>
      <c r="AJ111" s="2">
        <v>136</v>
      </c>
      <c r="AK111" s="2">
        <v>203</v>
      </c>
      <c r="AL111" t="s">
        <v>78</v>
      </c>
    </row>
    <row r="112" spans="2:38" x14ac:dyDescent="0.25">
      <c r="AG112" s="2">
        <v>2</v>
      </c>
      <c r="AH112" s="2">
        <v>3</v>
      </c>
      <c r="AI112" s="2">
        <v>340</v>
      </c>
      <c r="AJ112" s="2">
        <v>348</v>
      </c>
      <c r="AK112" s="2">
        <v>299</v>
      </c>
      <c r="AL112" t="s">
        <v>73</v>
      </c>
    </row>
    <row r="113" spans="2:38" x14ac:dyDescent="0.25">
      <c r="AG113" s="2">
        <v>21</v>
      </c>
      <c r="AH113" s="2">
        <v>87</v>
      </c>
      <c r="AI113" s="2">
        <v>168</v>
      </c>
      <c r="AJ113" s="2">
        <v>138</v>
      </c>
      <c r="AK113" s="2">
        <v>118</v>
      </c>
      <c r="AL113" t="s">
        <v>74</v>
      </c>
    </row>
    <row r="115" spans="2:38" x14ac:dyDescent="0.25">
      <c r="B115" s="26">
        <f t="shared" ref="B115:AK115" si="21">B43-SUM(B108:B113)</f>
        <v>8458</v>
      </c>
      <c r="C115" s="26">
        <f t="shared" si="21"/>
        <v>9698</v>
      </c>
      <c r="D115" s="26">
        <f t="shared" si="21"/>
        <v>9148</v>
      </c>
      <c r="E115" s="26">
        <f t="shared" si="21"/>
        <v>9132</v>
      </c>
      <c r="F115" s="26">
        <f t="shared" si="21"/>
        <v>9480</v>
      </c>
      <c r="G115" s="26">
        <f t="shared" si="21"/>
        <v>9956</v>
      </c>
      <c r="H115" s="26">
        <f t="shared" si="21"/>
        <v>10341</v>
      </c>
      <c r="I115" s="26">
        <f t="shared" si="21"/>
        <v>9768</v>
      </c>
      <c r="J115" s="26">
        <f t="shared" si="21"/>
        <v>7902</v>
      </c>
      <c r="K115" s="26">
        <f t="shared" si="21"/>
        <v>9891</v>
      </c>
      <c r="L115" s="26">
        <f t="shared" si="21"/>
        <v>8535</v>
      </c>
      <c r="M115" s="26">
        <f t="shared" si="21"/>
        <v>9115</v>
      </c>
      <c r="N115" s="26">
        <f t="shared" si="21"/>
        <v>8742</v>
      </c>
      <c r="O115" s="26">
        <f t="shared" si="21"/>
        <v>9263</v>
      </c>
      <c r="P115" s="26">
        <f t="shared" si="21"/>
        <v>8360</v>
      </c>
      <c r="Q115" s="26">
        <f t="shared" si="21"/>
        <v>8999</v>
      </c>
      <c r="R115" s="26">
        <f t="shared" si="21"/>
        <v>8423</v>
      </c>
      <c r="S115" s="26">
        <f t="shared" si="21"/>
        <v>9586</v>
      </c>
      <c r="T115" s="26">
        <f t="shared" si="21"/>
        <v>9831</v>
      </c>
      <c r="U115" s="26">
        <f t="shared" si="21"/>
        <v>8737</v>
      </c>
      <c r="V115" s="26">
        <f t="shared" si="21"/>
        <v>7839</v>
      </c>
      <c r="W115" s="26">
        <f t="shared" si="21"/>
        <v>9140</v>
      </c>
      <c r="X115" s="26">
        <f t="shared" si="21"/>
        <v>8048</v>
      </c>
      <c r="Y115" s="26">
        <f t="shared" si="21"/>
        <v>8545</v>
      </c>
      <c r="Z115" s="26">
        <f t="shared" si="21"/>
        <v>8365</v>
      </c>
      <c r="AA115" s="26">
        <f t="shared" si="21"/>
        <v>8634</v>
      </c>
      <c r="AB115" s="26">
        <f t="shared" si="21"/>
        <v>8524</v>
      </c>
      <c r="AC115" s="26">
        <f t="shared" si="21"/>
        <v>8703</v>
      </c>
      <c r="AD115" s="26">
        <f t="shared" si="21"/>
        <v>7916</v>
      </c>
      <c r="AE115" s="26">
        <f t="shared" si="21"/>
        <v>9957</v>
      </c>
      <c r="AF115" s="26">
        <f t="shared" si="21"/>
        <v>10159</v>
      </c>
      <c r="AG115" s="26">
        <f t="shared" si="21"/>
        <v>18539</v>
      </c>
      <c r="AH115" s="26">
        <f t="shared" si="21"/>
        <v>23264</v>
      </c>
      <c r="AI115" s="26">
        <f t="shared" si="21"/>
        <v>19756</v>
      </c>
      <c r="AJ115" s="26">
        <f t="shared" si="21"/>
        <v>14815</v>
      </c>
      <c r="AK115" s="26">
        <f t="shared" si="21"/>
        <v>16978</v>
      </c>
    </row>
    <row r="117" spans="2:38" x14ac:dyDescent="0.25">
      <c r="B117" s="35">
        <f t="shared" ref="B117:AJ117" si="22">B33+C34-C35-C33</f>
        <v>0</v>
      </c>
      <c r="C117" s="35">
        <f t="shared" si="22"/>
        <v>0</v>
      </c>
      <c r="D117" s="35">
        <f t="shared" si="22"/>
        <v>0</v>
      </c>
      <c r="E117" s="35">
        <f t="shared" si="22"/>
        <v>0</v>
      </c>
      <c r="F117" s="35">
        <f t="shared" si="22"/>
        <v>0</v>
      </c>
      <c r="G117" s="35">
        <f t="shared" si="22"/>
        <v>0</v>
      </c>
      <c r="H117" s="35">
        <f t="shared" si="22"/>
        <v>0</v>
      </c>
      <c r="I117" s="35">
        <f t="shared" si="22"/>
        <v>0</v>
      </c>
      <c r="J117" s="35">
        <f t="shared" si="22"/>
        <v>0</v>
      </c>
      <c r="K117" s="35">
        <f t="shared" si="22"/>
        <v>0</v>
      </c>
      <c r="L117" s="35">
        <f t="shared" si="22"/>
        <v>0</v>
      </c>
      <c r="M117" s="35">
        <f t="shared" si="22"/>
        <v>0</v>
      </c>
      <c r="N117" s="35">
        <f t="shared" si="22"/>
        <v>0</v>
      </c>
      <c r="O117" s="35">
        <f t="shared" si="22"/>
        <v>0</v>
      </c>
      <c r="P117" s="35">
        <f t="shared" si="22"/>
        <v>0</v>
      </c>
      <c r="Q117" s="35">
        <f t="shared" si="22"/>
        <v>0</v>
      </c>
      <c r="R117" s="35">
        <f t="shared" si="22"/>
        <v>0</v>
      </c>
      <c r="S117" s="35">
        <f t="shared" si="22"/>
        <v>0</v>
      </c>
      <c r="T117" s="35">
        <f t="shared" si="22"/>
        <v>0</v>
      </c>
      <c r="U117" s="35">
        <f t="shared" si="22"/>
        <v>0</v>
      </c>
      <c r="V117" s="35">
        <f t="shared" si="22"/>
        <v>0</v>
      </c>
      <c r="W117" s="35">
        <f t="shared" si="22"/>
        <v>0</v>
      </c>
      <c r="X117" s="35">
        <f t="shared" si="22"/>
        <v>0</v>
      </c>
      <c r="Y117" s="35">
        <f t="shared" si="22"/>
        <v>0</v>
      </c>
      <c r="Z117" s="35">
        <f t="shared" si="22"/>
        <v>0</v>
      </c>
      <c r="AA117" s="35">
        <f t="shared" si="22"/>
        <v>0</v>
      </c>
      <c r="AB117" s="35">
        <f t="shared" si="22"/>
        <v>0</v>
      </c>
      <c r="AC117" s="35">
        <f t="shared" si="22"/>
        <v>0</v>
      </c>
      <c r="AD117" s="35">
        <f t="shared" si="22"/>
        <v>0</v>
      </c>
      <c r="AE117" s="35">
        <f t="shared" si="22"/>
        <v>0</v>
      </c>
      <c r="AF117" s="35">
        <f t="shared" si="22"/>
        <v>0</v>
      </c>
      <c r="AG117" s="35">
        <f t="shared" si="22"/>
        <v>0</v>
      </c>
      <c r="AH117" s="35">
        <f t="shared" si="22"/>
        <v>0</v>
      </c>
      <c r="AI117" s="35">
        <f t="shared" si="22"/>
        <v>0</v>
      </c>
      <c r="AJ117" s="35">
        <f t="shared" si="22"/>
        <v>0</v>
      </c>
      <c r="AK117" s="35"/>
    </row>
  </sheetData>
  <mergeCells count="36">
    <mergeCell ref="AA5:AA6"/>
    <mergeCell ref="AB5:AB6"/>
    <mergeCell ref="U5:U6"/>
    <mergeCell ref="V5:V6"/>
    <mergeCell ref="W5:W6"/>
    <mergeCell ref="X5:X6"/>
    <mergeCell ref="Y5:Y6"/>
    <mergeCell ref="Q5:Q6"/>
    <mergeCell ref="R5:R6"/>
    <mergeCell ref="S5:S6"/>
    <mergeCell ref="T5:T6"/>
    <mergeCell ref="Z5:Z6"/>
    <mergeCell ref="L5:L6"/>
    <mergeCell ref="M5:M6"/>
    <mergeCell ref="N5:N6"/>
    <mergeCell ref="O5:O6"/>
    <mergeCell ref="P5:P6"/>
    <mergeCell ref="G5:G6"/>
    <mergeCell ref="H5:H6"/>
    <mergeCell ref="I5:I6"/>
    <mergeCell ref="J5:J6"/>
    <mergeCell ref="K5:K6"/>
    <mergeCell ref="B5:B6"/>
    <mergeCell ref="C5:C6"/>
    <mergeCell ref="D5:D6"/>
    <mergeCell ref="E5:E6"/>
    <mergeCell ref="F5:F6"/>
    <mergeCell ref="AC5:AC6"/>
    <mergeCell ref="AD5:AD6"/>
    <mergeCell ref="AE5:AE6"/>
    <mergeCell ref="AF5:AF6"/>
    <mergeCell ref="AK5:AK6"/>
    <mergeCell ref="AI5:AI6"/>
    <mergeCell ref="AG5:AG6"/>
    <mergeCell ref="AH5:AH6"/>
    <mergeCell ref="AJ5:AJ6"/>
  </mergeCells>
  <phoneticPr fontId="4" type="noConversion"/>
  <printOptions horizontalCentered="1"/>
  <pageMargins left="0.2" right="0.2" top="0.5" bottom="0.2" header="0.3" footer="0.3"/>
  <pageSetup scale="52" fitToWidth="3" fitToHeight="0" orientation="landscape" r:id="rId1"/>
  <headerFooter>
    <oddFooter>&amp;RDRAFT 20150421</oddFooter>
  </headerFooter>
  <colBreaks count="2" manualBreakCount="2">
    <brk id="13" max="97" man="1"/>
    <brk id="25" max="97"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6344-4D77-4050-B8AB-D34E4E314B8B}">
  <dimension ref="A1:ZZ51"/>
  <sheetViews>
    <sheetView tabSelected="1" topLeftCell="A25" workbookViewId="0">
      <selection activeCell="C40" sqref="C40"/>
    </sheetView>
  </sheetViews>
  <sheetFormatPr defaultRowHeight="15" x14ac:dyDescent="0.25"/>
  <cols>
    <col min="1" max="1" width="5.28515625" style="172" bestFit="1" customWidth="1"/>
    <col min="2" max="2" width="18.5703125" customWidth="1"/>
    <col min="3" max="3" width="20.5703125" customWidth="1"/>
    <col min="4" max="4" width="54.85546875" customWidth="1"/>
    <col min="5" max="35" width="14.28515625" style="2" customWidth="1"/>
    <col min="36" max="36" width="14.28515625" style="170" customWidth="1"/>
    <col min="37" max="155" width="14.28515625" style="2" customWidth="1"/>
    <col min="156" max="157" width="14.5703125" style="2" customWidth="1"/>
    <col min="158" max="175" width="18.140625" style="2" customWidth="1"/>
  </cols>
  <sheetData>
    <row r="1" spans="1:702" ht="18.75" x14ac:dyDescent="0.3">
      <c r="B1" s="1" t="s">
        <v>116</v>
      </c>
      <c r="C1" s="1"/>
      <c r="D1" s="1"/>
    </row>
    <row r="2" spans="1:702" ht="18.75" x14ac:dyDescent="0.3">
      <c r="A2" s="252"/>
      <c r="B2" s="20" t="s">
        <v>19</v>
      </c>
      <c r="C2" s="20"/>
      <c r="D2" s="20"/>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250"/>
      <c r="AK2" s="251"/>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c r="MP2" s="4"/>
      <c r="MQ2" s="4"/>
      <c r="MR2" s="4"/>
      <c r="MS2" s="4"/>
      <c r="MT2" s="4"/>
      <c r="MU2" s="4"/>
      <c r="MV2" s="4"/>
      <c r="MW2" s="4"/>
      <c r="MX2" s="4"/>
      <c r="MY2" s="4"/>
      <c r="MZ2" s="4"/>
      <c r="NA2" s="4"/>
      <c r="NB2" s="4"/>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c r="OF2" s="4"/>
      <c r="OG2" s="4"/>
      <c r="OH2" s="4"/>
      <c r="OI2" s="4"/>
      <c r="OJ2" s="4"/>
      <c r="OK2" s="4"/>
      <c r="OL2" s="4"/>
      <c r="OM2" s="4"/>
      <c r="ON2" s="4"/>
      <c r="OO2" s="4"/>
      <c r="OP2" s="4"/>
      <c r="OQ2" s="4"/>
      <c r="OR2" s="4"/>
      <c r="OS2" s="4"/>
      <c r="OT2" s="4"/>
      <c r="OU2" s="4"/>
      <c r="OV2" s="4"/>
      <c r="OW2" s="4"/>
      <c r="OX2" s="4"/>
      <c r="OY2" s="4"/>
      <c r="OZ2" s="4"/>
      <c r="PA2" s="4"/>
      <c r="PB2" s="4"/>
      <c r="PC2" s="4"/>
      <c r="PD2" s="4"/>
      <c r="PE2" s="4"/>
      <c r="PF2" s="4"/>
      <c r="PG2" s="4"/>
      <c r="PH2" s="4"/>
      <c r="PI2" s="4"/>
      <c r="PJ2" s="4"/>
      <c r="PK2" s="4"/>
      <c r="PL2" s="4"/>
      <c r="PM2" s="4"/>
      <c r="PN2" s="4"/>
      <c r="PO2" s="4"/>
      <c r="PP2" s="4"/>
      <c r="PQ2" s="4"/>
      <c r="PR2" s="4"/>
      <c r="PS2" s="4"/>
      <c r="PT2" s="4"/>
      <c r="PU2" s="4"/>
      <c r="PV2" s="4"/>
      <c r="PW2" s="4"/>
      <c r="PX2" s="4"/>
      <c r="PY2" s="4"/>
      <c r="PZ2" s="4"/>
      <c r="QA2" s="4"/>
      <c r="QB2" s="4"/>
      <c r="QC2" s="4"/>
      <c r="QD2" s="4"/>
      <c r="QE2" s="4"/>
      <c r="QF2" s="4"/>
      <c r="QG2" s="4"/>
      <c r="QH2" s="4"/>
      <c r="QI2" s="4"/>
      <c r="QJ2" s="4"/>
      <c r="QK2" s="4"/>
      <c r="QL2" s="4"/>
      <c r="QM2" s="4"/>
      <c r="QN2" s="4"/>
      <c r="QO2" s="4"/>
      <c r="QP2" s="4"/>
      <c r="QQ2" s="4"/>
      <c r="QR2" s="4"/>
      <c r="QS2" s="4"/>
      <c r="QT2" s="4"/>
      <c r="QU2" s="4"/>
      <c r="QV2" s="4"/>
      <c r="QW2" s="4"/>
      <c r="QX2" s="4"/>
      <c r="QY2" s="4"/>
      <c r="QZ2" s="4"/>
      <c r="RA2" s="4"/>
      <c r="RB2" s="4"/>
      <c r="RC2" s="4"/>
      <c r="RD2" s="4"/>
      <c r="RE2" s="4"/>
      <c r="RF2" s="4"/>
      <c r="RG2" s="4"/>
      <c r="RH2" s="4"/>
      <c r="RI2" s="4"/>
      <c r="RJ2" s="4"/>
      <c r="RK2" s="4"/>
      <c r="RL2" s="4"/>
      <c r="RM2" s="4"/>
      <c r="RN2" s="4"/>
      <c r="RO2" s="4"/>
      <c r="RP2" s="4"/>
      <c r="RQ2" s="4"/>
      <c r="RR2" s="4"/>
      <c r="RS2" s="4"/>
      <c r="RT2" s="4"/>
      <c r="RU2" s="4"/>
      <c r="RV2" s="4"/>
      <c r="RW2" s="4"/>
      <c r="RX2" s="4"/>
      <c r="RY2" s="4"/>
      <c r="RZ2" s="4"/>
      <c r="SA2" s="4"/>
      <c r="SB2" s="4"/>
      <c r="SC2" s="4"/>
      <c r="SD2" s="4"/>
      <c r="SE2" s="4"/>
      <c r="SF2" s="4"/>
      <c r="SG2" s="4"/>
      <c r="SH2" s="4"/>
      <c r="SI2" s="4"/>
      <c r="SJ2" s="4"/>
      <c r="SK2" s="4"/>
      <c r="SL2" s="4"/>
      <c r="SM2" s="4"/>
      <c r="SN2" s="4"/>
      <c r="SO2" s="4"/>
      <c r="SP2" s="4"/>
      <c r="SQ2" s="4"/>
      <c r="SR2" s="4"/>
      <c r="SS2" s="4"/>
      <c r="ST2" s="4"/>
      <c r="SU2" s="4"/>
      <c r="SV2" s="4"/>
      <c r="SW2" s="4"/>
      <c r="SX2" s="4"/>
      <c r="SY2" s="4"/>
      <c r="SZ2" s="4"/>
      <c r="TA2" s="4"/>
      <c r="TB2" s="4"/>
      <c r="TC2" s="4"/>
      <c r="TD2" s="4"/>
      <c r="TE2" s="4"/>
      <c r="TF2" s="4"/>
      <c r="TG2" s="4"/>
      <c r="TH2" s="4"/>
      <c r="TI2" s="4"/>
      <c r="TJ2" s="4"/>
      <c r="TK2" s="4"/>
      <c r="TL2" s="4"/>
      <c r="TM2" s="4"/>
      <c r="TN2" s="4"/>
      <c r="TO2" s="4"/>
      <c r="TP2" s="4"/>
      <c r="TQ2" s="4"/>
      <c r="TR2" s="4"/>
      <c r="TS2" s="4"/>
      <c r="TT2" s="4"/>
      <c r="TU2" s="4"/>
      <c r="TV2" s="4"/>
      <c r="TW2" s="4"/>
      <c r="TX2" s="4"/>
      <c r="TY2" s="4"/>
      <c r="TZ2" s="4"/>
      <c r="UA2" s="4"/>
      <c r="UB2" s="4"/>
      <c r="UC2" s="4"/>
      <c r="UD2" s="4"/>
      <c r="UE2" s="4"/>
      <c r="UF2" s="4"/>
      <c r="UG2" s="4"/>
      <c r="UH2" s="4"/>
      <c r="UI2" s="4"/>
      <c r="UJ2" s="4"/>
      <c r="UK2" s="4"/>
      <c r="UL2" s="4"/>
      <c r="UM2" s="4"/>
      <c r="UN2" s="4"/>
      <c r="UO2" s="4"/>
      <c r="UP2" s="4"/>
      <c r="UQ2" s="4"/>
      <c r="UR2" s="4"/>
      <c r="US2" s="4"/>
      <c r="UT2" s="4"/>
      <c r="UU2" s="4"/>
      <c r="UV2" s="4"/>
      <c r="UW2" s="4"/>
      <c r="UX2" s="4"/>
      <c r="UY2" s="4"/>
      <c r="UZ2" s="4"/>
      <c r="VA2" s="4"/>
      <c r="VB2" s="4"/>
      <c r="VC2" s="4"/>
      <c r="VD2" s="4"/>
      <c r="VE2" s="4"/>
      <c r="VF2" s="4"/>
      <c r="VG2" s="4"/>
      <c r="VH2" s="4"/>
      <c r="VI2" s="4"/>
      <c r="VJ2" s="4"/>
      <c r="VK2" s="4"/>
      <c r="VL2" s="4"/>
      <c r="VM2" s="4"/>
      <c r="VN2" s="4"/>
      <c r="VO2" s="4"/>
      <c r="VP2" s="4"/>
      <c r="VQ2" s="4"/>
      <c r="VR2" s="4"/>
      <c r="VS2" s="4"/>
      <c r="VT2" s="4"/>
      <c r="VU2" s="4"/>
      <c r="VV2" s="4"/>
      <c r="VW2" s="4"/>
      <c r="VX2" s="4"/>
      <c r="VY2" s="4"/>
      <c r="VZ2" s="4"/>
      <c r="WA2" s="4"/>
      <c r="WB2" s="4"/>
      <c r="WC2" s="4"/>
      <c r="WD2" s="4"/>
      <c r="WE2" s="4"/>
      <c r="WF2" s="4"/>
      <c r="WG2" s="4"/>
      <c r="WH2" s="4"/>
      <c r="WI2" s="4"/>
      <c r="WJ2" s="4"/>
      <c r="WK2" s="4"/>
      <c r="WL2" s="4"/>
      <c r="WM2" s="4"/>
      <c r="WN2" s="4"/>
      <c r="WO2" s="4"/>
      <c r="WP2" s="4"/>
      <c r="WQ2" s="4"/>
      <c r="WR2" s="4"/>
      <c r="WS2" s="4"/>
      <c r="WT2" s="4"/>
      <c r="WU2" s="4"/>
      <c r="WV2" s="4"/>
      <c r="WW2" s="4"/>
      <c r="WX2" s="4"/>
      <c r="WY2" s="4"/>
      <c r="WZ2" s="4"/>
      <c r="XA2" s="4"/>
      <c r="XB2" s="4"/>
      <c r="XC2" s="4"/>
      <c r="XD2" s="4"/>
      <c r="XE2" s="4"/>
      <c r="XF2" s="4"/>
      <c r="XG2" s="4"/>
      <c r="XH2" s="4"/>
      <c r="XI2" s="4"/>
      <c r="XJ2" s="4"/>
      <c r="XK2" s="4"/>
      <c r="XL2" s="4"/>
      <c r="XM2" s="4"/>
      <c r="XN2" s="4"/>
      <c r="XO2" s="4"/>
      <c r="XP2" s="4"/>
      <c r="XQ2" s="4"/>
      <c r="XR2" s="4"/>
      <c r="XS2" s="4"/>
      <c r="XT2" s="4"/>
      <c r="XU2" s="4"/>
      <c r="XV2" s="4"/>
      <c r="XW2" s="4"/>
      <c r="XX2" s="4"/>
      <c r="XY2" s="4"/>
      <c r="XZ2" s="4"/>
      <c r="YA2" s="4"/>
      <c r="YB2" s="4"/>
      <c r="YC2" s="4"/>
      <c r="YD2" s="4"/>
      <c r="YE2" s="4"/>
      <c r="YF2" s="4"/>
      <c r="YG2" s="4"/>
      <c r="YH2" s="4"/>
      <c r="YI2" s="4"/>
      <c r="YJ2" s="4"/>
      <c r="YK2" s="4"/>
      <c r="YL2" s="4"/>
      <c r="YM2" s="4"/>
      <c r="YN2" s="4"/>
      <c r="YO2" s="4"/>
      <c r="YP2" s="4"/>
      <c r="YQ2" s="4"/>
      <c r="YR2" s="4"/>
      <c r="YS2" s="4"/>
      <c r="YT2" s="4"/>
      <c r="YU2" s="4"/>
      <c r="YV2" s="4"/>
      <c r="YW2" s="4"/>
      <c r="YX2" s="4"/>
      <c r="YY2" s="4"/>
      <c r="YZ2" s="4"/>
      <c r="ZA2" s="4"/>
      <c r="ZB2" s="4"/>
      <c r="ZC2" s="4"/>
      <c r="ZD2" s="4"/>
      <c r="ZE2" s="4"/>
      <c r="ZF2" s="4"/>
      <c r="ZG2" s="4"/>
      <c r="ZH2" s="4"/>
      <c r="ZI2" s="4"/>
      <c r="ZJ2" s="4"/>
      <c r="ZK2" s="4"/>
      <c r="ZL2" s="4"/>
      <c r="ZM2" s="4"/>
      <c r="ZN2" s="4"/>
      <c r="ZO2" s="4"/>
      <c r="ZP2" s="4"/>
      <c r="ZQ2" s="4"/>
      <c r="ZR2" s="4"/>
      <c r="ZS2" s="4"/>
      <c r="ZT2" s="4"/>
      <c r="ZU2" s="4"/>
      <c r="ZV2" s="4"/>
      <c r="ZW2" s="4"/>
      <c r="ZX2" s="4"/>
      <c r="ZY2" s="4"/>
      <c r="ZZ2" s="4"/>
    </row>
    <row r="3" spans="1:702" ht="15.75" x14ac:dyDescent="0.25">
      <c r="B3" s="31" t="s">
        <v>149</v>
      </c>
      <c r="C3" s="31"/>
      <c r="D3" s="233"/>
    </row>
    <row r="4" spans="1:702" x14ac:dyDescent="0.25">
      <c r="B4" s="185" t="s">
        <v>93</v>
      </c>
      <c r="C4" s="185"/>
      <c r="D4" s="234"/>
      <c r="E4" s="168"/>
    </row>
    <row r="5" spans="1:702" ht="15.75" thickBot="1" x14ac:dyDescent="0.3">
      <c r="B5" s="232" t="s">
        <v>143</v>
      </c>
      <c r="C5" s="185"/>
      <c r="D5" s="185"/>
      <c r="E5" s="247"/>
      <c r="F5" s="247"/>
      <c r="G5" s="247"/>
      <c r="H5" s="247"/>
      <c r="I5" s="247"/>
      <c r="J5" s="247"/>
      <c r="K5" s="247"/>
      <c r="L5" s="247"/>
      <c r="M5" s="247"/>
      <c r="N5" s="247"/>
      <c r="O5" s="247"/>
      <c r="P5" s="247"/>
      <c r="Q5" s="247"/>
      <c r="R5" s="247"/>
      <c r="S5" s="247"/>
      <c r="T5" s="247"/>
      <c r="U5" s="247"/>
      <c r="V5" s="247"/>
      <c r="W5" s="247"/>
      <c r="X5" s="247"/>
      <c r="Y5" s="247"/>
      <c r="Z5" s="247"/>
      <c r="AA5" s="247"/>
      <c r="AB5" s="247"/>
      <c r="AC5" s="247"/>
      <c r="AD5" s="247"/>
      <c r="AE5" s="247"/>
      <c r="AF5" s="247"/>
      <c r="AG5" s="247"/>
      <c r="AH5" s="247"/>
      <c r="AI5" s="247"/>
      <c r="AJ5" s="247"/>
      <c r="AK5" s="247"/>
      <c r="AL5" s="247"/>
      <c r="AM5" s="247"/>
      <c r="AN5" s="247"/>
      <c r="AO5" s="247"/>
      <c r="AP5" s="247"/>
      <c r="AQ5" s="247"/>
      <c r="AR5" s="247"/>
      <c r="AS5" s="247"/>
      <c r="AT5" s="247"/>
      <c r="AU5" s="247"/>
      <c r="AV5" s="247"/>
      <c r="AW5" s="247"/>
      <c r="AX5" s="247"/>
      <c r="AY5" s="247"/>
      <c r="AZ5" s="247"/>
      <c r="BA5" s="247"/>
      <c r="BB5" s="247"/>
      <c r="BC5" s="247"/>
      <c r="BD5" s="247"/>
      <c r="BE5" s="247"/>
      <c r="BF5" s="247"/>
      <c r="BG5" s="247"/>
      <c r="BH5" s="247"/>
      <c r="BI5" s="247"/>
      <c r="BJ5" s="247"/>
      <c r="BK5" s="247"/>
      <c r="BL5" s="247"/>
      <c r="BM5" s="247"/>
      <c r="BN5" s="247"/>
      <c r="BO5" s="247"/>
      <c r="BP5" s="247"/>
      <c r="BQ5" s="247"/>
      <c r="BR5" s="247"/>
      <c r="BS5" s="247"/>
      <c r="BT5" s="247"/>
      <c r="BU5" s="247"/>
      <c r="BV5" s="247"/>
      <c r="BW5" s="247"/>
      <c r="BX5" s="247"/>
      <c r="BY5" s="247"/>
      <c r="BZ5" s="247"/>
      <c r="CA5" s="247"/>
      <c r="CB5" s="247"/>
      <c r="CC5" s="247"/>
      <c r="CD5" s="247"/>
      <c r="CE5" s="247"/>
      <c r="CF5" s="247"/>
      <c r="CG5" s="247"/>
      <c r="CH5" s="247"/>
      <c r="CI5" s="247"/>
      <c r="CJ5" s="247"/>
      <c r="CK5" s="247"/>
      <c r="CL5" s="247"/>
      <c r="CM5" s="247"/>
      <c r="CN5" s="247"/>
      <c r="CO5" s="247"/>
      <c r="CP5" s="247"/>
      <c r="CQ5" s="247"/>
      <c r="CR5" s="247"/>
      <c r="CS5" s="247"/>
      <c r="CT5" s="247"/>
      <c r="CU5" s="247"/>
      <c r="CV5" s="247"/>
      <c r="CW5" s="247"/>
      <c r="CX5" s="247"/>
      <c r="CY5" s="247"/>
      <c r="CZ5" s="247"/>
      <c r="DA5" s="247"/>
      <c r="DB5" s="247"/>
      <c r="DC5" s="247"/>
      <c r="DD5" s="247"/>
      <c r="DE5" s="247"/>
      <c r="DF5" s="247"/>
      <c r="DG5" s="247"/>
      <c r="DH5" s="247"/>
      <c r="DI5" s="247"/>
      <c r="DJ5" s="247"/>
      <c r="DK5" s="247"/>
      <c r="DL5" s="247"/>
      <c r="DM5" s="247"/>
      <c r="DN5" s="247"/>
      <c r="DO5" s="247"/>
      <c r="DP5" s="247"/>
      <c r="DQ5" s="247"/>
      <c r="DR5" s="247"/>
      <c r="DS5" s="247"/>
      <c r="DT5" s="247"/>
      <c r="DU5" s="247"/>
      <c r="DV5" s="247"/>
      <c r="DW5" s="247"/>
      <c r="DX5" s="247"/>
      <c r="DY5" s="247"/>
      <c r="DZ5" s="247"/>
      <c r="EA5" s="247"/>
      <c r="EB5" s="247"/>
      <c r="EC5" s="247"/>
      <c r="ED5" s="247"/>
      <c r="EE5" s="247"/>
      <c r="EF5" s="247"/>
      <c r="EG5" s="247"/>
      <c r="EH5" s="247"/>
      <c r="EI5" s="247"/>
      <c r="EJ5" s="247"/>
      <c r="EK5" s="247"/>
      <c r="EL5" s="247"/>
      <c r="EM5" s="247"/>
      <c r="EN5" s="247"/>
      <c r="EO5" s="247"/>
      <c r="EP5" s="247"/>
      <c r="EQ5" s="247"/>
      <c r="ER5" s="247"/>
      <c r="ES5" s="247"/>
      <c r="ET5" s="247"/>
      <c r="EU5" s="247"/>
      <c r="EV5" s="247"/>
      <c r="EW5" s="247"/>
      <c r="EX5" s="247"/>
      <c r="EY5" s="247"/>
      <c r="EZ5" s="247"/>
      <c r="FA5" s="247"/>
      <c r="FB5" s="247"/>
      <c r="FC5" s="247"/>
      <c r="FD5" s="247"/>
      <c r="FE5" s="247"/>
      <c r="FF5" s="247"/>
      <c r="FG5" s="247"/>
      <c r="FH5" s="247"/>
      <c r="FI5" s="247"/>
      <c r="FJ5" s="247"/>
      <c r="FK5" s="247"/>
      <c r="FL5" s="247"/>
      <c r="FM5" s="247"/>
      <c r="FN5" s="247"/>
      <c r="FO5" s="247"/>
      <c r="FP5" s="247"/>
      <c r="FQ5" s="247"/>
      <c r="FR5" s="247"/>
      <c r="FS5" s="247"/>
    </row>
    <row r="6" spans="1:702" ht="15.75" x14ac:dyDescent="0.25">
      <c r="B6" s="227" t="s">
        <v>102</v>
      </c>
      <c r="C6" s="217"/>
      <c r="D6" s="173"/>
      <c r="E6" s="258">
        <v>41000</v>
      </c>
      <c r="F6" s="260">
        <v>41030</v>
      </c>
      <c r="G6" s="260">
        <v>41061</v>
      </c>
      <c r="H6" s="260">
        <v>41091</v>
      </c>
      <c r="I6" s="260">
        <v>41122</v>
      </c>
      <c r="J6" s="260">
        <v>41153</v>
      </c>
      <c r="K6" s="260">
        <v>41183</v>
      </c>
      <c r="L6" s="260">
        <v>41214</v>
      </c>
      <c r="M6" s="260">
        <v>41244</v>
      </c>
      <c r="N6" s="260">
        <v>41275</v>
      </c>
      <c r="O6" s="260">
        <v>41306</v>
      </c>
      <c r="P6" s="260">
        <v>41334</v>
      </c>
      <c r="Q6" s="260">
        <v>41365</v>
      </c>
      <c r="R6" s="260">
        <v>41395</v>
      </c>
      <c r="S6" s="260">
        <v>41426</v>
      </c>
      <c r="T6" s="260">
        <v>41456</v>
      </c>
      <c r="U6" s="260">
        <v>41487</v>
      </c>
      <c r="V6" s="260">
        <v>41518</v>
      </c>
      <c r="W6" s="260">
        <v>41548</v>
      </c>
      <c r="X6" s="260">
        <v>41579</v>
      </c>
      <c r="Y6" s="260">
        <v>41609</v>
      </c>
      <c r="Z6" s="260">
        <v>41640</v>
      </c>
      <c r="AA6" s="260">
        <v>41671</v>
      </c>
      <c r="AB6" s="260">
        <v>41699</v>
      </c>
      <c r="AC6" s="260">
        <v>41730</v>
      </c>
      <c r="AD6" s="260">
        <v>41760</v>
      </c>
      <c r="AE6" s="260">
        <v>41791</v>
      </c>
      <c r="AF6" s="260">
        <v>41821</v>
      </c>
      <c r="AG6" s="260">
        <v>41852</v>
      </c>
      <c r="AH6" s="260">
        <v>41883</v>
      </c>
      <c r="AI6" s="262">
        <v>41913</v>
      </c>
      <c r="AJ6" s="264">
        <v>41944</v>
      </c>
      <c r="AK6" s="260">
        <v>41974</v>
      </c>
      <c r="AL6" s="260">
        <v>42005</v>
      </c>
      <c r="AM6" s="260">
        <v>42036</v>
      </c>
      <c r="AN6" s="260">
        <v>42064</v>
      </c>
      <c r="AO6" s="260">
        <v>42095</v>
      </c>
      <c r="AP6" s="260">
        <v>42125</v>
      </c>
      <c r="AQ6" s="260">
        <v>42156</v>
      </c>
      <c r="AR6" s="260">
        <v>42186</v>
      </c>
      <c r="AS6" s="260">
        <v>42217</v>
      </c>
      <c r="AT6" s="260">
        <v>42248</v>
      </c>
      <c r="AU6" s="260">
        <v>42278</v>
      </c>
      <c r="AV6" s="260">
        <v>42309</v>
      </c>
      <c r="AW6" s="260">
        <v>42339</v>
      </c>
      <c r="AX6" s="260">
        <v>42370</v>
      </c>
      <c r="AY6" s="260">
        <v>42401</v>
      </c>
      <c r="AZ6" s="260">
        <v>42430</v>
      </c>
      <c r="BA6" s="260">
        <v>42461</v>
      </c>
      <c r="BB6" s="260">
        <v>42491</v>
      </c>
      <c r="BC6" s="260">
        <v>42522</v>
      </c>
      <c r="BD6" s="260">
        <v>42552</v>
      </c>
      <c r="BE6" s="260">
        <v>42583</v>
      </c>
      <c r="BF6" s="260">
        <v>42614</v>
      </c>
      <c r="BG6" s="260">
        <v>42644</v>
      </c>
      <c r="BH6" s="260">
        <v>42675</v>
      </c>
      <c r="BI6" s="260">
        <v>42705</v>
      </c>
      <c r="BJ6" s="260">
        <v>42736</v>
      </c>
      <c r="BK6" s="260">
        <v>42767</v>
      </c>
      <c r="BL6" s="260">
        <v>42795</v>
      </c>
      <c r="BM6" s="260">
        <v>42826</v>
      </c>
      <c r="BN6" s="260">
        <v>42856</v>
      </c>
      <c r="BO6" s="260">
        <v>42887</v>
      </c>
      <c r="BP6" s="260">
        <v>42917</v>
      </c>
      <c r="BQ6" s="260">
        <v>42948</v>
      </c>
      <c r="BR6" s="260">
        <v>42979</v>
      </c>
      <c r="BS6" s="260">
        <v>43009</v>
      </c>
      <c r="BT6" s="260">
        <v>43040</v>
      </c>
      <c r="BU6" s="260">
        <v>43070</v>
      </c>
      <c r="BV6" s="260">
        <v>43101</v>
      </c>
      <c r="BW6" s="260">
        <v>43132</v>
      </c>
      <c r="BX6" s="260">
        <v>43160</v>
      </c>
      <c r="BY6" s="260">
        <v>43191</v>
      </c>
      <c r="BZ6" s="260">
        <v>43221</v>
      </c>
      <c r="CA6" s="260">
        <v>43252</v>
      </c>
      <c r="CB6" s="260">
        <v>43282</v>
      </c>
      <c r="CC6" s="260">
        <v>43313</v>
      </c>
      <c r="CD6" s="260">
        <v>43344</v>
      </c>
      <c r="CE6" s="260">
        <v>43374</v>
      </c>
      <c r="CF6" s="260">
        <v>43405</v>
      </c>
      <c r="CG6" s="260">
        <v>43435</v>
      </c>
      <c r="CH6" s="260">
        <v>43466</v>
      </c>
      <c r="CI6" s="260">
        <v>43497</v>
      </c>
      <c r="CJ6" s="260">
        <v>43525</v>
      </c>
      <c r="CK6" s="260">
        <v>43556</v>
      </c>
      <c r="CL6" s="260">
        <v>43586</v>
      </c>
      <c r="CM6" s="260">
        <v>43617</v>
      </c>
      <c r="CN6" s="260">
        <v>43647</v>
      </c>
      <c r="CO6" s="260">
        <v>43678</v>
      </c>
      <c r="CP6" s="260">
        <v>43709</v>
      </c>
      <c r="CQ6" s="260">
        <v>43739</v>
      </c>
      <c r="CR6" s="260">
        <v>43770</v>
      </c>
      <c r="CS6" s="260">
        <v>43800</v>
      </c>
      <c r="CT6" s="260">
        <v>43831</v>
      </c>
      <c r="CU6" s="260">
        <v>43862</v>
      </c>
      <c r="CV6" s="260">
        <v>43891</v>
      </c>
      <c r="CW6" s="260">
        <v>43922</v>
      </c>
      <c r="CX6" s="260">
        <v>43952</v>
      </c>
      <c r="CY6" s="260">
        <v>43983</v>
      </c>
      <c r="CZ6" s="260">
        <v>44013</v>
      </c>
      <c r="DA6" s="260">
        <v>44044</v>
      </c>
      <c r="DB6" s="260">
        <v>44075</v>
      </c>
      <c r="DC6" s="260">
        <v>44105</v>
      </c>
      <c r="DD6" s="260">
        <v>44136</v>
      </c>
      <c r="DE6" s="260">
        <v>44166</v>
      </c>
      <c r="DF6" s="260">
        <v>44197</v>
      </c>
      <c r="DG6" s="260">
        <v>44228</v>
      </c>
      <c r="DH6" s="260">
        <v>44256</v>
      </c>
      <c r="DI6" s="260">
        <v>44287</v>
      </c>
      <c r="DJ6" s="260">
        <v>44317</v>
      </c>
      <c r="DK6" s="260">
        <v>44348</v>
      </c>
      <c r="DL6" s="260">
        <v>44378</v>
      </c>
      <c r="DM6" s="260">
        <v>44409</v>
      </c>
      <c r="DN6" s="260">
        <v>44440</v>
      </c>
      <c r="DO6" s="260">
        <v>44470</v>
      </c>
      <c r="DP6" s="260">
        <v>44501</v>
      </c>
      <c r="DQ6" s="260">
        <v>44531</v>
      </c>
      <c r="DR6" s="260">
        <v>44562</v>
      </c>
      <c r="DS6" s="260">
        <v>44593</v>
      </c>
      <c r="DT6" s="260">
        <v>44621</v>
      </c>
      <c r="DU6" s="260">
        <v>44652</v>
      </c>
      <c r="DV6" s="260">
        <v>44682</v>
      </c>
      <c r="DW6" s="260">
        <v>44713</v>
      </c>
      <c r="DX6" s="260">
        <v>44743</v>
      </c>
      <c r="DY6" s="260">
        <v>44774</v>
      </c>
      <c r="DZ6" s="260">
        <v>44805</v>
      </c>
      <c r="EA6" s="260">
        <v>44835</v>
      </c>
      <c r="EB6" s="260">
        <v>44866</v>
      </c>
      <c r="EC6" s="260">
        <v>44896</v>
      </c>
      <c r="ED6" s="260">
        <v>44927</v>
      </c>
      <c r="EE6" s="260">
        <v>44958</v>
      </c>
      <c r="EF6" s="260">
        <v>44986</v>
      </c>
      <c r="EG6" s="260">
        <v>45017</v>
      </c>
      <c r="EH6" s="260">
        <v>45047</v>
      </c>
      <c r="EI6" s="260">
        <v>45078</v>
      </c>
      <c r="EJ6" s="260">
        <v>45108</v>
      </c>
      <c r="EK6" s="260">
        <v>45139</v>
      </c>
      <c r="EL6" s="260">
        <v>45170</v>
      </c>
      <c r="EM6" s="260">
        <v>45200</v>
      </c>
      <c r="EN6" s="260">
        <v>45231</v>
      </c>
      <c r="EO6" s="260">
        <v>45261</v>
      </c>
      <c r="EP6" s="260">
        <v>45292</v>
      </c>
      <c r="EQ6" s="260">
        <v>45323</v>
      </c>
      <c r="ER6" s="260">
        <v>45352</v>
      </c>
      <c r="ES6" s="260">
        <v>45383</v>
      </c>
      <c r="ET6" s="260">
        <v>45413</v>
      </c>
      <c r="EU6" s="260">
        <v>45444</v>
      </c>
      <c r="EV6" s="260">
        <v>45474</v>
      </c>
      <c r="EW6" s="260">
        <v>45505</v>
      </c>
      <c r="EX6" s="260">
        <v>45536</v>
      </c>
      <c r="EY6" s="260">
        <v>45566</v>
      </c>
      <c r="EZ6" s="260">
        <v>45597</v>
      </c>
      <c r="FA6" s="260">
        <v>45627</v>
      </c>
      <c r="FB6" s="260">
        <v>45658</v>
      </c>
      <c r="FC6" s="260">
        <v>45689</v>
      </c>
      <c r="FD6" s="260">
        <v>45717</v>
      </c>
      <c r="FE6" s="260">
        <v>45748</v>
      </c>
      <c r="FF6" s="260">
        <v>45778</v>
      </c>
      <c r="FG6" s="260">
        <v>45809</v>
      </c>
      <c r="FH6" s="260">
        <v>45839</v>
      </c>
      <c r="FI6" s="260">
        <v>45870</v>
      </c>
      <c r="FJ6" s="260">
        <v>45901</v>
      </c>
      <c r="FK6" s="260">
        <v>45931</v>
      </c>
      <c r="FL6" s="260">
        <v>45962</v>
      </c>
      <c r="FM6" s="260">
        <v>45992</v>
      </c>
      <c r="FN6" s="260">
        <v>46023</v>
      </c>
      <c r="FO6" s="260">
        <v>46054</v>
      </c>
      <c r="FP6" s="260">
        <v>46082</v>
      </c>
      <c r="FQ6" s="260">
        <v>46113</v>
      </c>
      <c r="FR6" s="260">
        <v>46143</v>
      </c>
      <c r="FS6" s="260">
        <v>46174</v>
      </c>
    </row>
    <row r="7" spans="1:702" ht="16.5" thickBot="1" x14ac:dyDescent="0.3">
      <c r="B7" s="184"/>
      <c r="C7" s="218"/>
      <c r="D7" s="174"/>
      <c r="E7" s="259"/>
      <c r="F7" s="261"/>
      <c r="G7" s="261"/>
      <c r="H7" s="261"/>
      <c r="I7" s="261"/>
      <c r="J7" s="261"/>
      <c r="K7" s="261"/>
      <c r="L7" s="261"/>
      <c r="M7" s="261"/>
      <c r="N7" s="261"/>
      <c r="O7" s="261"/>
      <c r="P7" s="261"/>
      <c r="Q7" s="261"/>
      <c r="R7" s="261"/>
      <c r="S7" s="261"/>
      <c r="T7" s="261"/>
      <c r="U7" s="261"/>
      <c r="V7" s="261"/>
      <c r="W7" s="261"/>
      <c r="X7" s="261"/>
      <c r="Y7" s="261"/>
      <c r="Z7" s="261"/>
      <c r="AA7" s="261"/>
      <c r="AB7" s="261"/>
      <c r="AC7" s="261"/>
      <c r="AD7" s="261"/>
      <c r="AE7" s="261"/>
      <c r="AF7" s="261"/>
      <c r="AG7" s="261"/>
      <c r="AH7" s="261"/>
      <c r="AI7" s="263"/>
      <c r="AJ7" s="265"/>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c r="BK7" s="261"/>
      <c r="BL7" s="261"/>
      <c r="BM7" s="261"/>
      <c r="BN7" s="261"/>
      <c r="BO7" s="261"/>
      <c r="BP7" s="261"/>
      <c r="BQ7" s="261"/>
      <c r="BR7" s="261"/>
      <c r="BS7" s="261"/>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c r="DM7" s="266"/>
      <c r="DN7" s="266"/>
      <c r="DO7" s="266"/>
      <c r="DP7" s="266"/>
      <c r="DQ7" s="266"/>
      <c r="DR7" s="266"/>
      <c r="DS7" s="266"/>
      <c r="DT7" s="266"/>
      <c r="DU7" s="266"/>
      <c r="DV7" s="266"/>
      <c r="DW7" s="266"/>
      <c r="DX7" s="266"/>
      <c r="DY7" s="266"/>
      <c r="DZ7" s="266"/>
      <c r="EA7" s="266"/>
      <c r="EB7" s="266"/>
      <c r="EC7" s="266"/>
      <c r="ED7" s="266"/>
      <c r="EE7" s="266"/>
      <c r="EF7" s="266"/>
      <c r="EG7" s="266"/>
      <c r="EH7" s="266"/>
      <c r="EI7" s="266"/>
      <c r="EJ7" s="266"/>
      <c r="EK7" s="266"/>
      <c r="EL7" s="266"/>
      <c r="EM7" s="266"/>
      <c r="EN7" s="266"/>
      <c r="EO7" s="266"/>
      <c r="EP7" s="266"/>
      <c r="EQ7" s="266"/>
      <c r="ER7" s="266"/>
      <c r="ES7" s="266"/>
      <c r="ET7" s="266"/>
      <c r="EU7" s="266"/>
      <c r="EV7" s="266"/>
      <c r="EW7" s="266"/>
      <c r="EX7" s="266"/>
      <c r="EY7" s="266"/>
      <c r="EZ7" s="266"/>
      <c r="FA7" s="266"/>
      <c r="FB7" s="266"/>
      <c r="FC7" s="266"/>
      <c r="FD7" s="266"/>
      <c r="FE7" s="266"/>
      <c r="FF7" s="266"/>
      <c r="FG7" s="266"/>
      <c r="FH7" s="266"/>
      <c r="FI7" s="266"/>
      <c r="FJ7" s="266"/>
      <c r="FK7" s="266"/>
      <c r="FL7" s="266"/>
      <c r="FM7" s="266"/>
      <c r="FN7" s="266"/>
      <c r="FO7" s="266"/>
      <c r="FP7" s="266"/>
      <c r="FQ7" s="266"/>
      <c r="FR7" s="266"/>
      <c r="FS7" s="266"/>
    </row>
    <row r="8" spans="1:702" ht="15.75" x14ac:dyDescent="0.25">
      <c r="B8" s="181" t="s">
        <v>20</v>
      </c>
      <c r="C8" s="214"/>
      <c r="D8" s="182"/>
      <c r="E8" s="186"/>
      <c r="F8" s="186"/>
      <c r="G8" s="186"/>
      <c r="H8" s="186"/>
      <c r="I8" s="186"/>
      <c r="J8" s="186"/>
      <c r="K8" s="186"/>
      <c r="L8" s="186"/>
      <c r="M8" s="186"/>
      <c r="N8" s="186"/>
      <c r="O8" s="186"/>
      <c r="P8" s="186"/>
      <c r="Q8" s="186"/>
      <c r="R8" s="186"/>
      <c r="S8" s="186"/>
      <c r="T8" s="186"/>
      <c r="U8" s="186"/>
      <c r="V8" s="186"/>
      <c r="W8" s="186"/>
      <c r="X8" s="186"/>
      <c r="Y8" s="186"/>
      <c r="Z8" s="186"/>
      <c r="AA8" s="186"/>
      <c r="AB8" s="186"/>
      <c r="AC8" s="186"/>
      <c r="AD8" s="186"/>
      <c r="AE8" s="186"/>
      <c r="AF8" s="186"/>
      <c r="AG8" s="186"/>
      <c r="AH8" s="186"/>
      <c r="AI8" s="187"/>
      <c r="AJ8" s="188"/>
      <c r="AK8" s="189"/>
      <c r="AL8" s="189"/>
      <c r="AM8" s="189"/>
      <c r="AN8" s="186"/>
      <c r="AO8" s="189"/>
      <c r="AP8" s="189"/>
      <c r="AQ8" s="189"/>
      <c r="AR8" s="189"/>
      <c r="AS8" s="189"/>
      <c r="AT8" s="189"/>
      <c r="AU8" s="189"/>
      <c r="AV8" s="189"/>
      <c r="AW8" s="189"/>
      <c r="AX8" s="189"/>
      <c r="AY8" s="189"/>
      <c r="AZ8" s="189"/>
      <c r="BA8" s="189"/>
      <c r="BB8" s="189"/>
      <c r="BC8" s="189"/>
      <c r="BD8" s="189"/>
      <c r="BE8" s="189"/>
      <c r="BF8" s="189"/>
      <c r="BG8" s="189"/>
      <c r="BH8" s="189"/>
      <c r="BI8" s="189"/>
      <c r="BJ8" s="189"/>
      <c r="BK8" s="189"/>
      <c r="BL8" s="189"/>
      <c r="BM8" s="189"/>
      <c r="BN8" s="189"/>
      <c r="BO8" s="189"/>
      <c r="BP8" s="189"/>
      <c r="BQ8" s="189"/>
      <c r="BR8" s="189"/>
      <c r="BS8" s="189"/>
      <c r="BT8" s="189"/>
      <c r="BU8" s="189"/>
      <c r="BV8" s="189"/>
      <c r="BW8" s="189"/>
      <c r="BX8" s="189"/>
      <c r="BY8" s="189"/>
      <c r="BZ8" s="189"/>
      <c r="CA8" s="189"/>
      <c r="CB8" s="189"/>
      <c r="CC8" s="189"/>
      <c r="CD8" s="189"/>
      <c r="CE8" s="189"/>
      <c r="CF8" s="189"/>
      <c r="CG8" s="189"/>
      <c r="CH8" s="189"/>
      <c r="CI8" s="189"/>
      <c r="CJ8" s="189"/>
      <c r="CK8" s="189"/>
      <c r="CL8" s="189"/>
      <c r="CM8" s="189"/>
      <c r="CN8" s="189"/>
      <c r="CO8" s="189"/>
      <c r="CP8" s="189"/>
      <c r="CQ8" s="189"/>
      <c r="CR8" s="189"/>
      <c r="CS8" s="189"/>
      <c r="CT8" s="189"/>
      <c r="CU8" s="189"/>
      <c r="CV8" s="189"/>
      <c r="CW8" s="189"/>
      <c r="CX8" s="189"/>
      <c r="CY8" s="189"/>
      <c r="CZ8" s="189"/>
      <c r="DA8" s="189"/>
      <c r="DB8" s="189"/>
      <c r="DC8" s="189"/>
      <c r="DD8" s="189"/>
      <c r="DE8" s="189"/>
      <c r="DF8" s="189"/>
      <c r="DG8" s="189"/>
      <c r="DH8" s="189"/>
      <c r="DI8" s="189"/>
      <c r="DJ8" s="189"/>
      <c r="DK8" s="189"/>
      <c r="DL8" s="189"/>
      <c r="DM8" s="189"/>
      <c r="DN8" s="189"/>
      <c r="DO8" s="189"/>
      <c r="DP8" s="189"/>
      <c r="DQ8" s="189"/>
      <c r="DR8" s="189"/>
      <c r="DS8" s="189"/>
      <c r="DT8" s="189"/>
      <c r="DU8" s="189"/>
      <c r="DV8" s="189"/>
      <c r="DW8" s="189"/>
      <c r="DX8" s="189"/>
      <c r="DY8" s="189"/>
      <c r="DZ8" s="189"/>
      <c r="EA8" s="189"/>
      <c r="EB8" s="189"/>
      <c r="EC8" s="189"/>
      <c r="ED8" s="189"/>
      <c r="EE8" s="189"/>
      <c r="EF8" s="189"/>
      <c r="EG8" s="189"/>
      <c r="EH8" s="189"/>
      <c r="EI8" s="189"/>
      <c r="EJ8" s="189"/>
      <c r="EK8" s="189"/>
      <c r="EL8" s="189"/>
      <c r="EM8" s="189"/>
      <c r="EN8" s="189"/>
      <c r="EO8" s="189"/>
      <c r="EP8" s="189"/>
      <c r="EQ8" s="189"/>
      <c r="ER8" s="189"/>
      <c r="ES8" s="189"/>
      <c r="ET8" s="189"/>
      <c r="EU8" s="189"/>
      <c r="EV8" s="253"/>
      <c r="EW8" s="253"/>
      <c r="EX8" s="253"/>
      <c r="EY8" s="253"/>
      <c r="EZ8" s="253"/>
      <c r="FA8" s="253"/>
      <c r="FB8" s="253"/>
      <c r="FC8" s="253"/>
      <c r="FD8" s="253"/>
      <c r="FE8" s="253"/>
      <c r="FF8" s="253"/>
      <c r="FG8" s="253"/>
      <c r="FH8" s="253"/>
      <c r="FI8" s="253"/>
      <c r="FJ8" s="253"/>
      <c r="FK8" s="253"/>
      <c r="FL8" s="253"/>
      <c r="FM8" s="253"/>
      <c r="FN8" s="253"/>
      <c r="FO8" s="253"/>
      <c r="FP8" s="253"/>
      <c r="FQ8" s="253"/>
      <c r="FR8" s="253"/>
      <c r="FS8" s="253"/>
    </row>
    <row r="9" spans="1:702" ht="15.75" x14ac:dyDescent="0.25">
      <c r="A9" s="172">
        <v>1</v>
      </c>
      <c r="B9" s="222" t="s">
        <v>103</v>
      </c>
      <c r="C9" s="219"/>
      <c r="D9" s="178"/>
      <c r="E9" s="190">
        <v>895</v>
      </c>
      <c r="F9" s="190">
        <v>1000</v>
      </c>
      <c r="G9" s="190">
        <v>977</v>
      </c>
      <c r="H9" s="190">
        <v>939</v>
      </c>
      <c r="I9" s="190">
        <v>924</v>
      </c>
      <c r="J9" s="190">
        <v>869</v>
      </c>
      <c r="K9" s="190">
        <v>947</v>
      </c>
      <c r="L9" s="190">
        <v>938</v>
      </c>
      <c r="M9" s="190">
        <v>869</v>
      </c>
      <c r="N9" s="190">
        <v>1071</v>
      </c>
      <c r="O9" s="190">
        <v>822</v>
      </c>
      <c r="P9" s="190">
        <v>835</v>
      </c>
      <c r="Q9" s="190">
        <v>938</v>
      </c>
      <c r="R9" s="190">
        <v>920</v>
      </c>
      <c r="S9" s="190">
        <v>830</v>
      </c>
      <c r="T9" s="190">
        <v>869</v>
      </c>
      <c r="U9" s="190">
        <v>801</v>
      </c>
      <c r="V9" s="190">
        <v>799</v>
      </c>
      <c r="W9" s="190">
        <v>805</v>
      </c>
      <c r="X9" s="190">
        <v>865</v>
      </c>
      <c r="Y9" s="190">
        <v>790</v>
      </c>
      <c r="Z9" s="190">
        <v>1039</v>
      </c>
      <c r="AA9" s="190">
        <v>882</v>
      </c>
      <c r="AB9" s="190">
        <v>884</v>
      </c>
      <c r="AC9" s="190">
        <v>868</v>
      </c>
      <c r="AD9" s="190">
        <v>862</v>
      </c>
      <c r="AE9" s="190">
        <v>791</v>
      </c>
      <c r="AF9" s="190">
        <v>886</v>
      </c>
      <c r="AG9" s="190">
        <v>758</v>
      </c>
      <c r="AH9" s="190">
        <v>813</v>
      </c>
      <c r="AI9" s="191">
        <v>736</v>
      </c>
      <c r="AJ9" s="192">
        <v>535</v>
      </c>
      <c r="AK9" s="193">
        <v>713</v>
      </c>
      <c r="AL9" s="193">
        <v>756</v>
      </c>
      <c r="AM9" s="193">
        <v>669</v>
      </c>
      <c r="AN9" s="193">
        <v>681</v>
      </c>
      <c r="AO9" s="193">
        <v>648</v>
      </c>
      <c r="AP9" s="193">
        <v>648</v>
      </c>
      <c r="AQ9" s="193">
        <v>655</v>
      </c>
      <c r="AR9" s="193">
        <v>638</v>
      </c>
      <c r="AS9" s="193">
        <v>661</v>
      </c>
      <c r="AT9" s="193">
        <v>691</v>
      </c>
      <c r="AU9" s="193">
        <v>633</v>
      </c>
      <c r="AV9" s="193">
        <v>712</v>
      </c>
      <c r="AW9" s="193">
        <v>627</v>
      </c>
      <c r="AX9" s="193">
        <v>789</v>
      </c>
      <c r="AY9" s="193">
        <v>680</v>
      </c>
      <c r="AZ9" s="193">
        <v>607</v>
      </c>
      <c r="BA9" s="193">
        <v>652</v>
      </c>
      <c r="BB9" s="193">
        <v>660</v>
      </c>
      <c r="BC9" s="193">
        <v>687</v>
      </c>
      <c r="BD9" s="193">
        <v>623</v>
      </c>
      <c r="BE9" s="193">
        <v>705</v>
      </c>
      <c r="BF9" s="193">
        <v>620</v>
      </c>
      <c r="BG9" s="193">
        <v>637</v>
      </c>
      <c r="BH9" s="193">
        <v>704</v>
      </c>
      <c r="BI9" s="193">
        <v>666</v>
      </c>
      <c r="BJ9" s="193">
        <v>815</v>
      </c>
      <c r="BK9" s="193">
        <v>660</v>
      </c>
      <c r="BL9" s="193">
        <v>642</v>
      </c>
      <c r="BM9" s="193">
        <v>572</v>
      </c>
      <c r="BN9" s="193">
        <v>713</v>
      </c>
      <c r="BO9" s="193">
        <v>673</v>
      </c>
      <c r="BP9" s="193">
        <v>595</v>
      </c>
      <c r="BQ9" s="193">
        <v>620</v>
      </c>
      <c r="BR9" s="193">
        <v>577</v>
      </c>
      <c r="BS9" s="193">
        <v>627</v>
      </c>
      <c r="BT9" s="193">
        <v>666</v>
      </c>
      <c r="BU9" s="193">
        <v>547</v>
      </c>
      <c r="BV9" s="193">
        <v>749</v>
      </c>
      <c r="BW9" s="193">
        <v>537</v>
      </c>
      <c r="BX9" s="193">
        <v>564</v>
      </c>
      <c r="BY9" s="193">
        <v>647</v>
      </c>
      <c r="BZ9" s="193">
        <v>623</v>
      </c>
      <c r="CA9" s="193">
        <v>534</v>
      </c>
      <c r="CB9" s="193">
        <v>563</v>
      </c>
      <c r="CC9" s="193">
        <v>471</v>
      </c>
      <c r="CD9" s="193">
        <v>442</v>
      </c>
      <c r="CE9" s="193">
        <v>523</v>
      </c>
      <c r="CF9" s="193">
        <v>508</v>
      </c>
      <c r="CG9" s="193">
        <v>403</v>
      </c>
      <c r="CH9" s="193">
        <v>579</v>
      </c>
      <c r="CI9" s="193">
        <v>495</v>
      </c>
      <c r="CJ9" s="193">
        <v>479</v>
      </c>
      <c r="CK9" s="193">
        <v>512</v>
      </c>
      <c r="CL9" s="193">
        <v>554</v>
      </c>
      <c r="CM9" s="193">
        <v>476</v>
      </c>
      <c r="CN9" s="193">
        <v>562</v>
      </c>
      <c r="CO9" s="193">
        <v>502</v>
      </c>
      <c r="CP9" s="193">
        <v>493</v>
      </c>
      <c r="CQ9" s="193">
        <v>513</v>
      </c>
      <c r="CR9" s="193">
        <v>542</v>
      </c>
      <c r="CS9" s="193">
        <v>458</v>
      </c>
      <c r="CT9" s="193">
        <v>589</v>
      </c>
      <c r="CU9" s="193">
        <v>509</v>
      </c>
      <c r="CV9" s="193">
        <v>826</v>
      </c>
      <c r="CW9" s="193">
        <v>420</v>
      </c>
      <c r="CX9" s="193">
        <v>195</v>
      </c>
      <c r="CY9" s="193">
        <v>178</v>
      </c>
      <c r="CZ9" s="193">
        <v>213</v>
      </c>
      <c r="DA9" s="193">
        <v>227</v>
      </c>
      <c r="DB9" s="193">
        <v>334</v>
      </c>
      <c r="DC9" s="193">
        <v>353</v>
      </c>
      <c r="DD9" s="193">
        <v>306</v>
      </c>
      <c r="DE9" s="193">
        <v>299</v>
      </c>
      <c r="DF9" s="193">
        <v>349</v>
      </c>
      <c r="DG9" s="193">
        <v>299</v>
      </c>
      <c r="DH9" s="193">
        <v>301</v>
      </c>
      <c r="DI9" s="193">
        <v>266</v>
      </c>
      <c r="DJ9" s="193">
        <v>270</v>
      </c>
      <c r="DK9" s="193">
        <v>283</v>
      </c>
      <c r="DL9" s="193">
        <v>313</v>
      </c>
      <c r="DM9" s="193">
        <v>347</v>
      </c>
      <c r="DN9" s="193">
        <v>414</v>
      </c>
      <c r="DO9" s="193">
        <v>585</v>
      </c>
      <c r="DP9" s="193">
        <v>761</v>
      </c>
      <c r="DQ9" s="193">
        <v>586</v>
      </c>
      <c r="DR9" s="193">
        <v>622</v>
      </c>
      <c r="DS9" s="193">
        <v>475</v>
      </c>
      <c r="DT9" s="193">
        <v>566</v>
      </c>
      <c r="DU9" s="193">
        <v>489</v>
      </c>
      <c r="DV9" s="193">
        <v>541</v>
      </c>
      <c r="DW9" s="193">
        <v>515</v>
      </c>
      <c r="DX9" s="193">
        <v>504</v>
      </c>
      <c r="DY9" s="193">
        <v>554</v>
      </c>
      <c r="DZ9" s="193">
        <v>554</v>
      </c>
      <c r="EA9" s="193">
        <v>456</v>
      </c>
      <c r="EB9" s="193">
        <v>532</v>
      </c>
      <c r="EC9" s="193">
        <v>520</v>
      </c>
      <c r="ED9" s="193">
        <v>676</v>
      </c>
      <c r="EE9" s="193">
        <v>551</v>
      </c>
      <c r="EF9" s="193">
        <v>666</v>
      </c>
      <c r="EG9" s="193">
        <v>484</v>
      </c>
      <c r="EH9" s="193">
        <v>721</v>
      </c>
      <c r="EI9" s="193">
        <v>624</v>
      </c>
      <c r="EJ9" s="193">
        <v>606</v>
      </c>
      <c r="EK9" s="193">
        <v>681</v>
      </c>
      <c r="EL9" s="193">
        <v>675</v>
      </c>
      <c r="EM9" s="193">
        <v>701</v>
      </c>
      <c r="EN9" s="193">
        <v>732</v>
      </c>
      <c r="EO9" s="193">
        <v>619</v>
      </c>
      <c r="EP9" s="193">
        <v>918</v>
      </c>
      <c r="EQ9" s="193">
        <v>711</v>
      </c>
      <c r="ER9" s="193">
        <v>687</v>
      </c>
      <c r="ES9" s="193">
        <v>796</v>
      </c>
      <c r="ET9" s="193">
        <v>745</v>
      </c>
      <c r="EU9" s="193">
        <v>931</v>
      </c>
      <c r="EV9" s="254">
        <v>753</v>
      </c>
      <c r="EW9" s="254">
        <v>971</v>
      </c>
      <c r="EX9" s="254">
        <v>812</v>
      </c>
      <c r="EY9" s="254">
        <v>929</v>
      </c>
      <c r="EZ9" s="254">
        <v>786</v>
      </c>
      <c r="FA9" s="254">
        <v>680</v>
      </c>
      <c r="FB9" s="254">
        <v>861</v>
      </c>
      <c r="FC9" s="254">
        <v>837</v>
      </c>
      <c r="FD9" s="254">
        <v>819</v>
      </c>
      <c r="FE9" s="254">
        <v>918</v>
      </c>
      <c r="FF9" s="254">
        <v>950</v>
      </c>
      <c r="FG9" s="254">
        <v>802</v>
      </c>
      <c r="FH9" s="254">
        <v>945</v>
      </c>
      <c r="FI9" s="254">
        <v>958</v>
      </c>
      <c r="FJ9" s="254">
        <v>910</v>
      </c>
      <c r="FK9" s="254">
        <v>915</v>
      </c>
      <c r="FL9" s="254">
        <v>785</v>
      </c>
      <c r="FM9" s="254">
        <v>799</v>
      </c>
      <c r="FN9" s="254">
        <v>858</v>
      </c>
      <c r="FO9" s="254">
        <v>752</v>
      </c>
      <c r="FP9" s="254">
        <v>793</v>
      </c>
      <c r="FQ9" s="254">
        <v>754</v>
      </c>
      <c r="FR9" s="254">
        <v>749</v>
      </c>
      <c r="FS9" s="254">
        <v>639</v>
      </c>
    </row>
    <row r="10" spans="1:702" ht="15.75" x14ac:dyDescent="0.25">
      <c r="A10" s="215">
        <v>2</v>
      </c>
      <c r="B10" s="226" t="s">
        <v>104</v>
      </c>
      <c r="C10" s="219"/>
      <c r="D10" s="178"/>
      <c r="E10" s="190" t="s">
        <v>94</v>
      </c>
      <c r="F10" s="190" t="s">
        <v>94</v>
      </c>
      <c r="G10" s="190" t="s">
        <v>94</v>
      </c>
      <c r="H10" s="190" t="s">
        <v>94</v>
      </c>
      <c r="I10" s="190" t="s">
        <v>94</v>
      </c>
      <c r="J10" s="190" t="s">
        <v>94</v>
      </c>
      <c r="K10" s="190" t="s">
        <v>94</v>
      </c>
      <c r="L10" s="190" t="s">
        <v>94</v>
      </c>
      <c r="M10" s="190" t="s">
        <v>94</v>
      </c>
      <c r="N10" s="190" t="s">
        <v>94</v>
      </c>
      <c r="O10" s="190" t="s">
        <v>94</v>
      </c>
      <c r="P10" s="190" t="s">
        <v>94</v>
      </c>
      <c r="Q10" s="190" t="s">
        <v>94</v>
      </c>
      <c r="R10" s="190" t="s">
        <v>94</v>
      </c>
      <c r="S10" s="190" t="s">
        <v>94</v>
      </c>
      <c r="T10" s="190" t="s">
        <v>94</v>
      </c>
      <c r="U10" s="190" t="s">
        <v>94</v>
      </c>
      <c r="V10" s="190" t="s">
        <v>94</v>
      </c>
      <c r="W10" s="190" t="s">
        <v>94</v>
      </c>
      <c r="X10" s="190" t="s">
        <v>94</v>
      </c>
      <c r="Y10" s="190" t="s">
        <v>94</v>
      </c>
      <c r="Z10" s="190" t="s">
        <v>94</v>
      </c>
      <c r="AA10" s="190" t="s">
        <v>94</v>
      </c>
      <c r="AB10" s="190" t="s">
        <v>94</v>
      </c>
      <c r="AC10" s="190" t="s">
        <v>94</v>
      </c>
      <c r="AD10" s="190" t="s">
        <v>94</v>
      </c>
      <c r="AE10" s="190" t="s">
        <v>94</v>
      </c>
      <c r="AF10" s="190" t="s">
        <v>94</v>
      </c>
      <c r="AG10" s="190" t="s">
        <v>94</v>
      </c>
      <c r="AH10" s="190" t="s">
        <v>94</v>
      </c>
      <c r="AI10" s="191" t="s">
        <v>94</v>
      </c>
      <c r="AJ10" s="192">
        <v>109</v>
      </c>
      <c r="AK10" s="190">
        <v>205</v>
      </c>
      <c r="AL10" s="190">
        <v>286</v>
      </c>
      <c r="AM10" s="190">
        <v>218</v>
      </c>
      <c r="AN10" s="190">
        <v>212</v>
      </c>
      <c r="AO10" s="190">
        <v>216</v>
      </c>
      <c r="AP10" s="190">
        <v>227</v>
      </c>
      <c r="AQ10" s="190">
        <v>230</v>
      </c>
      <c r="AR10" s="190">
        <v>191</v>
      </c>
      <c r="AS10" s="190">
        <v>216</v>
      </c>
      <c r="AT10" s="190">
        <v>198</v>
      </c>
      <c r="AU10" s="190">
        <v>187</v>
      </c>
      <c r="AV10" s="190">
        <v>234</v>
      </c>
      <c r="AW10" s="190">
        <v>179</v>
      </c>
      <c r="AX10" s="190">
        <v>277</v>
      </c>
      <c r="AY10" s="190">
        <v>217</v>
      </c>
      <c r="AZ10" s="190">
        <v>184</v>
      </c>
      <c r="BA10" s="190">
        <v>240</v>
      </c>
      <c r="BB10" s="190">
        <v>222</v>
      </c>
      <c r="BC10" s="190">
        <v>227</v>
      </c>
      <c r="BD10" s="190">
        <v>203</v>
      </c>
      <c r="BE10" s="190">
        <v>242</v>
      </c>
      <c r="BF10" s="190">
        <v>230</v>
      </c>
      <c r="BG10" s="190">
        <v>239</v>
      </c>
      <c r="BH10" s="190">
        <v>258</v>
      </c>
      <c r="BI10" s="190">
        <v>240</v>
      </c>
      <c r="BJ10" s="190">
        <v>333</v>
      </c>
      <c r="BK10" s="190">
        <v>264</v>
      </c>
      <c r="BL10" s="190">
        <v>229</v>
      </c>
      <c r="BM10" s="190">
        <v>198</v>
      </c>
      <c r="BN10" s="190">
        <v>262</v>
      </c>
      <c r="BO10" s="190">
        <v>253</v>
      </c>
      <c r="BP10" s="190">
        <v>209</v>
      </c>
      <c r="BQ10" s="190">
        <v>200</v>
      </c>
      <c r="BR10" s="190">
        <v>209</v>
      </c>
      <c r="BS10" s="190">
        <v>197</v>
      </c>
      <c r="BT10" s="190">
        <v>219</v>
      </c>
      <c r="BU10" s="190">
        <v>178</v>
      </c>
      <c r="BV10" s="190">
        <v>231</v>
      </c>
      <c r="BW10" s="190">
        <v>183</v>
      </c>
      <c r="BX10" s="190">
        <v>190</v>
      </c>
      <c r="BY10" s="190">
        <v>235</v>
      </c>
      <c r="BZ10" s="190">
        <v>220</v>
      </c>
      <c r="CA10" s="190">
        <v>200</v>
      </c>
      <c r="CB10" s="190">
        <v>201</v>
      </c>
      <c r="CC10" s="190">
        <v>167</v>
      </c>
      <c r="CD10" s="190">
        <v>162</v>
      </c>
      <c r="CE10" s="190">
        <v>177</v>
      </c>
      <c r="CF10" s="190">
        <v>189</v>
      </c>
      <c r="CG10" s="190">
        <v>156</v>
      </c>
      <c r="CH10" s="190">
        <v>216</v>
      </c>
      <c r="CI10" s="190">
        <v>202</v>
      </c>
      <c r="CJ10" s="190">
        <v>176</v>
      </c>
      <c r="CK10" s="190">
        <v>233</v>
      </c>
      <c r="CL10" s="190">
        <v>215</v>
      </c>
      <c r="CM10" s="190">
        <v>172</v>
      </c>
      <c r="CN10" s="190">
        <v>207</v>
      </c>
      <c r="CO10" s="190">
        <v>192</v>
      </c>
      <c r="CP10" s="190">
        <v>178</v>
      </c>
      <c r="CQ10" s="190">
        <v>172</v>
      </c>
      <c r="CR10" s="190">
        <v>193</v>
      </c>
      <c r="CS10" s="190">
        <v>160</v>
      </c>
      <c r="CT10" s="190">
        <v>210</v>
      </c>
      <c r="CU10" s="190">
        <v>208</v>
      </c>
      <c r="CV10" s="190">
        <v>428</v>
      </c>
      <c r="CW10" s="190">
        <v>220</v>
      </c>
      <c r="CX10" s="190">
        <v>83</v>
      </c>
      <c r="CY10" s="190">
        <v>73</v>
      </c>
      <c r="CZ10" s="190">
        <v>93</v>
      </c>
      <c r="DA10" s="190">
        <v>101</v>
      </c>
      <c r="DB10" s="190">
        <v>128</v>
      </c>
      <c r="DC10" s="190">
        <v>141</v>
      </c>
      <c r="DD10" s="190">
        <v>125</v>
      </c>
      <c r="DE10" s="190">
        <v>139</v>
      </c>
      <c r="DF10" s="190">
        <v>174</v>
      </c>
      <c r="DG10" s="190">
        <v>124</v>
      </c>
      <c r="DH10" s="190">
        <v>123</v>
      </c>
      <c r="DI10" s="190">
        <v>137</v>
      </c>
      <c r="DJ10" s="190">
        <v>144</v>
      </c>
      <c r="DK10" s="190">
        <v>136</v>
      </c>
      <c r="DL10" s="190">
        <v>136</v>
      </c>
      <c r="DM10" s="190">
        <v>156</v>
      </c>
      <c r="DN10" s="190">
        <v>190</v>
      </c>
      <c r="DO10" s="190">
        <v>262</v>
      </c>
      <c r="DP10" s="190">
        <v>336</v>
      </c>
      <c r="DQ10" s="190">
        <v>272</v>
      </c>
      <c r="DR10" s="190">
        <v>304</v>
      </c>
      <c r="DS10" s="190">
        <v>210</v>
      </c>
      <c r="DT10" s="190">
        <v>276</v>
      </c>
      <c r="DU10" s="190">
        <v>260</v>
      </c>
      <c r="DV10" s="190">
        <v>257</v>
      </c>
      <c r="DW10" s="190">
        <v>239</v>
      </c>
      <c r="DX10" s="190">
        <v>236</v>
      </c>
      <c r="DY10" s="190">
        <v>260</v>
      </c>
      <c r="DZ10" s="190">
        <v>280</v>
      </c>
      <c r="EA10" s="190">
        <v>223</v>
      </c>
      <c r="EB10" s="190">
        <v>292</v>
      </c>
      <c r="EC10" s="190">
        <v>449</v>
      </c>
      <c r="ED10" s="190">
        <v>607</v>
      </c>
      <c r="EE10" s="190">
        <v>498</v>
      </c>
      <c r="EF10" s="190">
        <v>580</v>
      </c>
      <c r="EG10" s="190">
        <v>433</v>
      </c>
      <c r="EH10" s="190">
        <v>664</v>
      </c>
      <c r="EI10" s="190">
        <v>562</v>
      </c>
      <c r="EJ10" s="190">
        <v>532</v>
      </c>
      <c r="EK10" s="190">
        <v>616</v>
      </c>
      <c r="EL10" s="190">
        <v>602</v>
      </c>
      <c r="EM10" s="190">
        <v>648</v>
      </c>
      <c r="EN10" s="190">
        <v>660</v>
      </c>
      <c r="EO10" s="190">
        <v>575</v>
      </c>
      <c r="EP10" s="190">
        <v>820</v>
      </c>
      <c r="EQ10" s="190">
        <v>646</v>
      </c>
      <c r="ER10" s="190">
        <v>609</v>
      </c>
      <c r="ES10" s="190">
        <v>698</v>
      </c>
      <c r="ET10" s="190">
        <v>650</v>
      </c>
      <c r="EU10" s="190">
        <v>822</v>
      </c>
      <c r="EV10" s="254">
        <v>617</v>
      </c>
      <c r="EW10" s="254">
        <v>841</v>
      </c>
      <c r="EX10" s="254">
        <v>686</v>
      </c>
      <c r="EY10" s="254">
        <v>816</v>
      </c>
      <c r="EZ10" s="254">
        <v>683</v>
      </c>
      <c r="FA10" s="254">
        <v>585</v>
      </c>
      <c r="FB10" s="254">
        <v>771</v>
      </c>
      <c r="FC10" s="254">
        <v>747</v>
      </c>
      <c r="FD10" s="254">
        <v>706</v>
      </c>
      <c r="FE10" s="254">
        <v>844</v>
      </c>
      <c r="FF10" s="254">
        <v>881</v>
      </c>
      <c r="FG10" s="254">
        <v>780</v>
      </c>
      <c r="FH10" s="254">
        <v>931</v>
      </c>
      <c r="FI10" s="254">
        <v>948</v>
      </c>
      <c r="FJ10" s="254">
        <v>889</v>
      </c>
      <c r="FK10" s="254">
        <v>895</v>
      </c>
      <c r="FL10" s="254">
        <v>762</v>
      </c>
      <c r="FM10" s="254">
        <v>785</v>
      </c>
      <c r="FN10" s="254">
        <v>843</v>
      </c>
      <c r="FO10" s="254">
        <v>741</v>
      </c>
      <c r="FP10" s="254">
        <v>776</v>
      </c>
      <c r="FQ10" s="254">
        <v>738</v>
      </c>
      <c r="FR10" s="254">
        <v>739</v>
      </c>
      <c r="FS10" s="254">
        <v>620</v>
      </c>
    </row>
    <row r="11" spans="1:702" ht="15.75" x14ac:dyDescent="0.25">
      <c r="A11" s="215">
        <v>3</v>
      </c>
      <c r="B11" s="226" t="s">
        <v>105</v>
      </c>
      <c r="C11" s="219"/>
      <c r="D11" s="178"/>
      <c r="E11" s="190">
        <v>895</v>
      </c>
      <c r="F11" s="190">
        <v>1000</v>
      </c>
      <c r="G11" s="190">
        <v>977</v>
      </c>
      <c r="H11" s="190">
        <v>939</v>
      </c>
      <c r="I11" s="190">
        <v>924</v>
      </c>
      <c r="J11" s="190">
        <v>869</v>
      </c>
      <c r="K11" s="190">
        <v>947</v>
      </c>
      <c r="L11" s="190">
        <v>938</v>
      </c>
      <c r="M11" s="190">
        <v>869</v>
      </c>
      <c r="N11" s="190">
        <v>1071</v>
      </c>
      <c r="O11" s="190">
        <v>822</v>
      </c>
      <c r="P11" s="190">
        <v>835</v>
      </c>
      <c r="Q11" s="190">
        <v>938</v>
      </c>
      <c r="R11" s="190">
        <v>920</v>
      </c>
      <c r="S11" s="190">
        <v>830</v>
      </c>
      <c r="T11" s="190">
        <v>869</v>
      </c>
      <c r="U11" s="190">
        <v>801</v>
      </c>
      <c r="V11" s="190">
        <v>799</v>
      </c>
      <c r="W11" s="190">
        <v>805</v>
      </c>
      <c r="X11" s="190">
        <v>865</v>
      </c>
      <c r="Y11" s="190">
        <v>790</v>
      </c>
      <c r="Z11" s="190">
        <v>1039</v>
      </c>
      <c r="AA11" s="190">
        <v>882</v>
      </c>
      <c r="AB11" s="190">
        <v>884</v>
      </c>
      <c r="AC11" s="190">
        <v>868</v>
      </c>
      <c r="AD11" s="190">
        <v>862</v>
      </c>
      <c r="AE11" s="190">
        <v>791</v>
      </c>
      <c r="AF11" s="190">
        <v>886</v>
      </c>
      <c r="AG11" s="190">
        <v>758</v>
      </c>
      <c r="AH11" s="190">
        <v>813</v>
      </c>
      <c r="AI11" s="191">
        <v>736</v>
      </c>
      <c r="AJ11" s="192">
        <v>426</v>
      </c>
      <c r="AK11" s="190">
        <v>508</v>
      </c>
      <c r="AL11" s="190">
        <v>470</v>
      </c>
      <c r="AM11" s="190">
        <v>451</v>
      </c>
      <c r="AN11" s="190">
        <v>469</v>
      </c>
      <c r="AO11" s="190">
        <v>432</v>
      </c>
      <c r="AP11" s="190">
        <v>421</v>
      </c>
      <c r="AQ11" s="190">
        <v>425</v>
      </c>
      <c r="AR11" s="190">
        <v>447</v>
      </c>
      <c r="AS11" s="190">
        <v>445</v>
      </c>
      <c r="AT11" s="190">
        <v>493</v>
      </c>
      <c r="AU11" s="190">
        <v>446</v>
      </c>
      <c r="AV11" s="190">
        <v>478</v>
      </c>
      <c r="AW11" s="190">
        <v>448</v>
      </c>
      <c r="AX11" s="190">
        <v>512</v>
      </c>
      <c r="AY11" s="190">
        <v>463</v>
      </c>
      <c r="AZ11" s="190">
        <v>423</v>
      </c>
      <c r="BA11" s="190">
        <v>412</v>
      </c>
      <c r="BB11" s="190">
        <v>438</v>
      </c>
      <c r="BC11" s="190">
        <v>460</v>
      </c>
      <c r="BD11" s="190">
        <v>420</v>
      </c>
      <c r="BE11" s="190">
        <v>463</v>
      </c>
      <c r="BF11" s="190">
        <v>390</v>
      </c>
      <c r="BG11" s="190">
        <v>398</v>
      </c>
      <c r="BH11" s="190">
        <v>446</v>
      </c>
      <c r="BI11" s="190">
        <v>426</v>
      </c>
      <c r="BJ11" s="190">
        <v>482</v>
      </c>
      <c r="BK11" s="190">
        <v>396</v>
      </c>
      <c r="BL11" s="190">
        <v>413</v>
      </c>
      <c r="BM11" s="190">
        <v>374</v>
      </c>
      <c r="BN11" s="190">
        <v>451</v>
      </c>
      <c r="BO11" s="190">
        <v>420</v>
      </c>
      <c r="BP11" s="190">
        <v>386</v>
      </c>
      <c r="BQ11" s="190">
        <v>420</v>
      </c>
      <c r="BR11" s="190">
        <v>368</v>
      </c>
      <c r="BS11" s="190">
        <v>430</v>
      </c>
      <c r="BT11" s="190">
        <v>447</v>
      </c>
      <c r="BU11" s="190">
        <v>369</v>
      </c>
      <c r="BV11" s="190">
        <v>518</v>
      </c>
      <c r="BW11" s="190">
        <v>354</v>
      </c>
      <c r="BX11" s="190">
        <v>374</v>
      </c>
      <c r="BY11" s="190">
        <v>412</v>
      </c>
      <c r="BZ11" s="190">
        <v>403</v>
      </c>
      <c r="CA11" s="190">
        <v>334</v>
      </c>
      <c r="CB11" s="190">
        <v>362</v>
      </c>
      <c r="CC11" s="190">
        <v>304</v>
      </c>
      <c r="CD11" s="190">
        <v>280</v>
      </c>
      <c r="CE11" s="190">
        <v>346</v>
      </c>
      <c r="CF11" s="190">
        <v>319</v>
      </c>
      <c r="CG11" s="190">
        <v>247</v>
      </c>
      <c r="CH11" s="190">
        <v>363</v>
      </c>
      <c r="CI11" s="190">
        <v>293</v>
      </c>
      <c r="CJ11" s="190">
        <v>303</v>
      </c>
      <c r="CK11" s="190">
        <v>279</v>
      </c>
      <c r="CL11" s="190">
        <v>339</v>
      </c>
      <c r="CM11" s="190">
        <v>304</v>
      </c>
      <c r="CN11" s="190">
        <v>355</v>
      </c>
      <c r="CO11" s="190">
        <v>310</v>
      </c>
      <c r="CP11" s="190">
        <v>315</v>
      </c>
      <c r="CQ11" s="190">
        <v>341</v>
      </c>
      <c r="CR11" s="190">
        <v>349</v>
      </c>
      <c r="CS11" s="190">
        <v>298</v>
      </c>
      <c r="CT11" s="190">
        <v>379</v>
      </c>
      <c r="CU11" s="190">
        <v>301</v>
      </c>
      <c r="CV11" s="190">
        <v>398</v>
      </c>
      <c r="CW11" s="190">
        <v>200</v>
      </c>
      <c r="CX11" s="190">
        <v>112</v>
      </c>
      <c r="CY11" s="190">
        <v>105</v>
      </c>
      <c r="CZ11" s="190">
        <v>120</v>
      </c>
      <c r="DA11" s="190">
        <v>126</v>
      </c>
      <c r="DB11" s="190">
        <v>206</v>
      </c>
      <c r="DC11" s="190">
        <v>212</v>
      </c>
      <c r="DD11" s="190">
        <v>181</v>
      </c>
      <c r="DE11" s="190">
        <v>160</v>
      </c>
      <c r="DF11" s="190">
        <v>175</v>
      </c>
      <c r="DG11" s="190">
        <v>175</v>
      </c>
      <c r="DH11" s="190">
        <v>178</v>
      </c>
      <c r="DI11" s="190">
        <v>129</v>
      </c>
      <c r="DJ11" s="190">
        <v>126</v>
      </c>
      <c r="DK11" s="190">
        <v>147</v>
      </c>
      <c r="DL11" s="190">
        <v>177</v>
      </c>
      <c r="DM11" s="190">
        <v>191</v>
      </c>
      <c r="DN11" s="190">
        <v>224</v>
      </c>
      <c r="DO11" s="190">
        <v>323</v>
      </c>
      <c r="DP11" s="190">
        <v>425</v>
      </c>
      <c r="DQ11" s="190">
        <v>314</v>
      </c>
      <c r="DR11" s="190">
        <v>318</v>
      </c>
      <c r="DS11" s="190">
        <v>265</v>
      </c>
      <c r="DT11" s="190">
        <v>290</v>
      </c>
      <c r="DU11" s="190">
        <v>229</v>
      </c>
      <c r="DV11" s="190">
        <v>284</v>
      </c>
      <c r="DW11" s="190">
        <v>276</v>
      </c>
      <c r="DX11" s="190">
        <v>268</v>
      </c>
      <c r="DY11" s="190">
        <v>294</v>
      </c>
      <c r="DZ11" s="190">
        <v>274</v>
      </c>
      <c r="EA11" s="190">
        <v>233</v>
      </c>
      <c r="EB11" s="190">
        <v>240</v>
      </c>
      <c r="EC11" s="190">
        <v>71</v>
      </c>
      <c r="ED11" s="190">
        <v>69</v>
      </c>
      <c r="EE11" s="190">
        <v>53</v>
      </c>
      <c r="EF11" s="190">
        <v>86</v>
      </c>
      <c r="EG11" s="190">
        <v>51</v>
      </c>
      <c r="EH11" s="190">
        <v>57</v>
      </c>
      <c r="EI11" s="190">
        <v>62</v>
      </c>
      <c r="EJ11" s="190">
        <v>74</v>
      </c>
      <c r="EK11" s="190">
        <v>65</v>
      </c>
      <c r="EL11" s="190">
        <v>73</v>
      </c>
      <c r="EM11" s="190">
        <v>53</v>
      </c>
      <c r="EN11" s="190">
        <v>72</v>
      </c>
      <c r="EO11" s="190">
        <v>44</v>
      </c>
      <c r="EP11" s="190">
        <v>98</v>
      </c>
      <c r="EQ11" s="190">
        <v>65</v>
      </c>
      <c r="ER11" s="190">
        <v>78</v>
      </c>
      <c r="ES11" s="190">
        <v>98</v>
      </c>
      <c r="ET11" s="190">
        <v>95</v>
      </c>
      <c r="EU11" s="190">
        <v>109</v>
      </c>
      <c r="EV11" s="254">
        <v>136</v>
      </c>
      <c r="EW11" s="254">
        <v>130</v>
      </c>
      <c r="EX11" s="254">
        <v>126</v>
      </c>
      <c r="EY11" s="254">
        <v>113</v>
      </c>
      <c r="EZ11" s="254">
        <v>103</v>
      </c>
      <c r="FA11" s="254">
        <v>95</v>
      </c>
      <c r="FB11" s="254">
        <v>90</v>
      </c>
      <c r="FC11" s="254">
        <v>90</v>
      </c>
      <c r="FD11" s="254">
        <v>113</v>
      </c>
      <c r="FE11" s="254">
        <v>74</v>
      </c>
      <c r="FF11" s="254">
        <v>69</v>
      </c>
      <c r="FG11" s="254">
        <v>22</v>
      </c>
      <c r="FH11" s="254">
        <v>14</v>
      </c>
      <c r="FI11" s="254">
        <v>10</v>
      </c>
      <c r="FJ11" s="254">
        <v>21</v>
      </c>
      <c r="FK11" s="254">
        <v>20</v>
      </c>
      <c r="FL11" s="254">
        <v>23</v>
      </c>
      <c r="FM11" s="254">
        <v>14</v>
      </c>
      <c r="FN11" s="254">
        <v>15</v>
      </c>
      <c r="FO11" s="254">
        <v>11</v>
      </c>
      <c r="FP11" s="254">
        <v>17</v>
      </c>
      <c r="FQ11" s="254">
        <v>16</v>
      </c>
      <c r="FR11" s="254">
        <v>10</v>
      </c>
      <c r="FS11" s="254">
        <v>19</v>
      </c>
    </row>
    <row r="12" spans="1:702" ht="15.75" x14ac:dyDescent="0.25">
      <c r="A12" s="215">
        <v>4</v>
      </c>
      <c r="B12" s="223" t="s">
        <v>95</v>
      </c>
      <c r="C12" s="220"/>
      <c r="D12" s="194"/>
      <c r="E12" s="190">
        <v>6</v>
      </c>
      <c r="F12" s="190">
        <v>7</v>
      </c>
      <c r="G12" s="190">
        <v>6</v>
      </c>
      <c r="H12" s="190">
        <v>7</v>
      </c>
      <c r="I12" s="190">
        <v>8</v>
      </c>
      <c r="J12" s="190">
        <v>8</v>
      </c>
      <c r="K12" s="190">
        <v>8</v>
      </c>
      <c r="L12" s="190">
        <v>7</v>
      </c>
      <c r="M12" s="190">
        <v>6</v>
      </c>
      <c r="N12" s="190">
        <v>7</v>
      </c>
      <c r="O12" s="190">
        <v>8</v>
      </c>
      <c r="P12" s="190">
        <v>6</v>
      </c>
      <c r="Q12" s="190">
        <v>7</v>
      </c>
      <c r="R12" s="190">
        <v>7</v>
      </c>
      <c r="S12" s="190">
        <v>6</v>
      </c>
      <c r="T12" s="190">
        <v>8</v>
      </c>
      <c r="U12" s="190">
        <v>8</v>
      </c>
      <c r="V12" s="190">
        <v>7</v>
      </c>
      <c r="W12" s="190">
        <v>7</v>
      </c>
      <c r="X12" s="190">
        <v>7</v>
      </c>
      <c r="Y12" s="190">
        <v>6</v>
      </c>
      <c r="Z12" s="190">
        <v>5</v>
      </c>
      <c r="AA12" s="190">
        <v>7</v>
      </c>
      <c r="AB12" s="190">
        <v>7</v>
      </c>
      <c r="AC12" s="190">
        <v>6</v>
      </c>
      <c r="AD12" s="190">
        <v>6</v>
      </c>
      <c r="AE12" s="190">
        <v>6</v>
      </c>
      <c r="AF12" s="190">
        <v>6</v>
      </c>
      <c r="AG12" s="190">
        <v>8</v>
      </c>
      <c r="AH12" s="190">
        <v>9</v>
      </c>
      <c r="AI12" s="191">
        <v>6</v>
      </c>
      <c r="AJ12" s="192">
        <v>4</v>
      </c>
      <c r="AK12" s="193">
        <v>6</v>
      </c>
      <c r="AL12" s="193">
        <v>8</v>
      </c>
      <c r="AM12" s="193">
        <v>8</v>
      </c>
      <c r="AN12" s="193">
        <v>8</v>
      </c>
      <c r="AO12" s="193">
        <v>10</v>
      </c>
      <c r="AP12" s="193">
        <v>9</v>
      </c>
      <c r="AQ12" s="193">
        <v>8</v>
      </c>
      <c r="AR12" s="193">
        <v>8</v>
      </c>
      <c r="AS12" s="193">
        <v>9</v>
      </c>
      <c r="AT12" s="193">
        <v>9</v>
      </c>
      <c r="AU12" s="193">
        <v>9</v>
      </c>
      <c r="AV12" s="193">
        <v>9</v>
      </c>
      <c r="AW12" s="193">
        <v>8</v>
      </c>
      <c r="AX12" s="193">
        <v>8</v>
      </c>
      <c r="AY12" s="193">
        <v>8</v>
      </c>
      <c r="AZ12" s="193">
        <v>8</v>
      </c>
      <c r="BA12" s="193">
        <v>6</v>
      </c>
      <c r="BB12" s="193">
        <v>8</v>
      </c>
      <c r="BC12" s="193">
        <v>7</v>
      </c>
      <c r="BD12" s="193">
        <v>8</v>
      </c>
      <c r="BE12" s="193">
        <v>8</v>
      </c>
      <c r="BF12" s="193">
        <v>8</v>
      </c>
      <c r="BG12" s="193">
        <v>7</v>
      </c>
      <c r="BH12" s="193">
        <v>6</v>
      </c>
      <c r="BI12" s="193">
        <v>5</v>
      </c>
      <c r="BJ12" s="193">
        <v>7</v>
      </c>
      <c r="BK12" s="193">
        <v>8</v>
      </c>
      <c r="BL12" s="193">
        <v>7</v>
      </c>
      <c r="BM12" s="193">
        <v>5</v>
      </c>
      <c r="BN12" s="193">
        <v>5</v>
      </c>
      <c r="BO12" s="193">
        <v>6</v>
      </c>
      <c r="BP12" s="193">
        <v>7</v>
      </c>
      <c r="BQ12" s="193">
        <v>6</v>
      </c>
      <c r="BR12" s="193">
        <v>7</v>
      </c>
      <c r="BS12" s="193">
        <v>5</v>
      </c>
      <c r="BT12" s="193">
        <v>5</v>
      </c>
      <c r="BU12" s="193">
        <v>5</v>
      </c>
      <c r="BV12" s="193">
        <v>5</v>
      </c>
      <c r="BW12" s="193">
        <v>6</v>
      </c>
      <c r="BX12" s="193">
        <v>4</v>
      </c>
      <c r="BY12" s="193">
        <v>6</v>
      </c>
      <c r="BZ12" s="193">
        <v>5</v>
      </c>
      <c r="CA12" s="193">
        <v>5</v>
      </c>
      <c r="CB12" s="193">
        <v>5</v>
      </c>
      <c r="CC12" s="193">
        <v>6</v>
      </c>
      <c r="CD12" s="193">
        <v>5</v>
      </c>
      <c r="CE12" s="193">
        <v>4</v>
      </c>
      <c r="CF12" s="193">
        <v>4</v>
      </c>
      <c r="CG12" s="193">
        <v>5</v>
      </c>
      <c r="CH12" s="193">
        <v>5</v>
      </c>
      <c r="CI12" s="193">
        <v>5</v>
      </c>
      <c r="CJ12" s="193">
        <v>5</v>
      </c>
      <c r="CK12" s="193">
        <v>4</v>
      </c>
      <c r="CL12" s="193">
        <v>7</v>
      </c>
      <c r="CM12" s="193">
        <v>5</v>
      </c>
      <c r="CN12" s="193">
        <v>5</v>
      </c>
      <c r="CO12" s="193">
        <v>5</v>
      </c>
      <c r="CP12" s="193">
        <v>5</v>
      </c>
      <c r="CQ12" s="193">
        <v>4</v>
      </c>
      <c r="CR12" s="193">
        <v>6</v>
      </c>
      <c r="CS12" s="193">
        <v>5</v>
      </c>
      <c r="CT12" s="193">
        <v>4</v>
      </c>
      <c r="CU12" s="193">
        <v>5</v>
      </c>
      <c r="CV12" s="193">
        <v>4</v>
      </c>
      <c r="CW12" s="193">
        <v>20</v>
      </c>
      <c r="CX12" s="193">
        <v>5</v>
      </c>
      <c r="CY12" s="193">
        <v>5</v>
      </c>
      <c r="CZ12" s="193">
        <v>4</v>
      </c>
      <c r="DA12" s="193">
        <v>7</v>
      </c>
      <c r="DB12" s="193">
        <v>6</v>
      </c>
      <c r="DC12" s="193">
        <v>5</v>
      </c>
      <c r="DD12" s="193">
        <v>4</v>
      </c>
      <c r="DE12" s="193">
        <v>5</v>
      </c>
      <c r="DF12" s="193">
        <v>5</v>
      </c>
      <c r="DG12" s="193">
        <v>5</v>
      </c>
      <c r="DH12" s="193">
        <v>5</v>
      </c>
      <c r="DI12" s="193">
        <v>5</v>
      </c>
      <c r="DJ12" s="193">
        <v>5</v>
      </c>
      <c r="DK12" s="193">
        <v>5</v>
      </c>
      <c r="DL12" s="193">
        <v>5</v>
      </c>
      <c r="DM12" s="193">
        <v>5</v>
      </c>
      <c r="DN12" s="193">
        <v>6</v>
      </c>
      <c r="DO12" s="193">
        <v>5</v>
      </c>
      <c r="DP12" s="193">
        <v>5</v>
      </c>
      <c r="DQ12" s="193">
        <v>6</v>
      </c>
      <c r="DR12" s="193">
        <v>5</v>
      </c>
      <c r="DS12" s="193">
        <v>6</v>
      </c>
      <c r="DT12" s="193">
        <v>6</v>
      </c>
      <c r="DU12" s="193">
        <v>6</v>
      </c>
      <c r="DV12" s="193">
        <v>6</v>
      </c>
      <c r="DW12" s="193">
        <v>6</v>
      </c>
      <c r="DX12" s="193">
        <v>5</v>
      </c>
      <c r="DY12" s="193">
        <v>7</v>
      </c>
      <c r="DZ12" s="193">
        <v>6</v>
      </c>
      <c r="EA12" s="193">
        <v>7</v>
      </c>
      <c r="EB12" s="193">
        <v>6</v>
      </c>
      <c r="EC12" s="193">
        <v>4</v>
      </c>
      <c r="ED12" s="193">
        <v>5</v>
      </c>
      <c r="EE12" s="193">
        <v>5</v>
      </c>
      <c r="EF12" s="193">
        <v>6</v>
      </c>
      <c r="EG12" s="193">
        <v>7</v>
      </c>
      <c r="EH12" s="193">
        <v>6</v>
      </c>
      <c r="EI12" s="193">
        <v>6</v>
      </c>
      <c r="EJ12" s="193">
        <v>6</v>
      </c>
      <c r="EK12" s="193">
        <v>7</v>
      </c>
      <c r="EL12" s="193">
        <v>5</v>
      </c>
      <c r="EM12" s="193">
        <v>7</v>
      </c>
      <c r="EN12" s="193">
        <v>7</v>
      </c>
      <c r="EO12" s="193">
        <v>9</v>
      </c>
      <c r="EP12" s="193">
        <v>9</v>
      </c>
      <c r="EQ12" s="193">
        <v>10</v>
      </c>
      <c r="ER12" s="193">
        <v>11</v>
      </c>
      <c r="ES12" s="193">
        <v>11</v>
      </c>
      <c r="ET12" s="193">
        <v>11</v>
      </c>
      <c r="EU12" s="193">
        <v>12</v>
      </c>
      <c r="EV12" s="254">
        <v>11</v>
      </c>
      <c r="EW12" s="254">
        <v>10</v>
      </c>
      <c r="EX12" s="254">
        <v>8</v>
      </c>
      <c r="EY12" s="254">
        <v>8</v>
      </c>
      <c r="EZ12" s="254">
        <v>9</v>
      </c>
      <c r="FA12" s="254">
        <v>9</v>
      </c>
      <c r="FB12" s="254">
        <v>9</v>
      </c>
      <c r="FC12" s="254">
        <v>9</v>
      </c>
      <c r="FD12" s="254">
        <v>11</v>
      </c>
      <c r="FE12" s="254">
        <v>9</v>
      </c>
      <c r="FF12" s="254">
        <v>10</v>
      </c>
      <c r="FG12" s="254">
        <v>10</v>
      </c>
      <c r="FH12" s="254">
        <v>6</v>
      </c>
      <c r="FI12" s="254">
        <v>6</v>
      </c>
      <c r="FJ12" s="254">
        <v>4</v>
      </c>
      <c r="FK12" s="254">
        <v>4</v>
      </c>
      <c r="FL12" s="254">
        <v>3</v>
      </c>
      <c r="FM12" s="254">
        <v>3</v>
      </c>
      <c r="FN12" s="254">
        <v>3</v>
      </c>
      <c r="FO12" s="254">
        <v>3</v>
      </c>
      <c r="FP12" s="254">
        <v>2</v>
      </c>
      <c r="FQ12" s="254">
        <v>2</v>
      </c>
      <c r="FR12" s="254">
        <v>3</v>
      </c>
      <c r="FS12" s="254">
        <v>3</v>
      </c>
      <c r="FT12" s="166"/>
      <c r="FU12" s="166"/>
      <c r="FV12" s="166"/>
      <c r="FW12" s="166"/>
      <c r="FX12" s="166"/>
      <c r="FY12" s="166"/>
      <c r="FZ12" s="166"/>
      <c r="GA12" s="166"/>
      <c r="GB12" s="166"/>
      <c r="GC12" s="166"/>
      <c r="GD12" s="166"/>
      <c r="GE12" s="166"/>
      <c r="GF12" s="166"/>
      <c r="GG12" s="166"/>
      <c r="GH12" s="166"/>
      <c r="GI12" s="166"/>
      <c r="GJ12" s="166"/>
      <c r="GK12" s="166"/>
      <c r="GL12" s="166"/>
      <c r="GM12" s="166"/>
      <c r="GN12" s="166"/>
      <c r="GO12" s="166"/>
      <c r="GP12" s="166"/>
      <c r="GQ12" s="166"/>
      <c r="GR12" s="166"/>
      <c r="GS12" s="166"/>
      <c r="GT12" s="166"/>
      <c r="GU12" s="166"/>
      <c r="GV12" s="166"/>
      <c r="GW12" s="166"/>
      <c r="GX12" s="166"/>
      <c r="GY12" s="166"/>
      <c r="GZ12" s="166"/>
      <c r="HA12" s="166"/>
      <c r="HB12" s="166"/>
      <c r="HC12" s="166"/>
      <c r="HD12" s="166"/>
      <c r="HE12" s="166"/>
      <c r="HF12" s="166"/>
      <c r="HG12" s="166"/>
      <c r="HH12" s="166"/>
      <c r="HI12" s="166"/>
      <c r="HJ12" s="166"/>
      <c r="HK12" s="166"/>
      <c r="HL12" s="166"/>
      <c r="HM12" s="166"/>
      <c r="HN12" s="166"/>
      <c r="HO12" s="166"/>
      <c r="HP12" s="166"/>
      <c r="HQ12" s="166"/>
      <c r="HR12" s="166"/>
      <c r="HS12" s="166"/>
      <c r="HT12" s="166"/>
      <c r="HU12" s="166"/>
      <c r="HV12" s="166"/>
      <c r="HW12" s="166"/>
      <c r="HX12" s="166"/>
      <c r="HY12" s="166"/>
      <c r="HZ12" s="166"/>
      <c r="IA12" s="166"/>
      <c r="IB12" s="166"/>
      <c r="IC12" s="166"/>
      <c r="ID12" s="166"/>
      <c r="IE12" s="166"/>
      <c r="IF12" s="166"/>
      <c r="IG12" s="166"/>
      <c r="IH12" s="166"/>
      <c r="II12" s="166"/>
      <c r="IJ12" s="166"/>
      <c r="IK12" s="166"/>
      <c r="IL12" s="166"/>
      <c r="IM12" s="166"/>
      <c r="IN12" s="166"/>
      <c r="IO12" s="166"/>
      <c r="IP12" s="166"/>
      <c r="IQ12" s="166"/>
      <c r="IR12" s="166"/>
      <c r="IS12" s="166"/>
      <c r="IT12" s="166"/>
      <c r="IU12" s="166"/>
      <c r="IV12" s="166"/>
      <c r="IW12" s="166"/>
      <c r="IX12" s="166"/>
      <c r="IY12" s="166"/>
      <c r="IZ12" s="166"/>
      <c r="JA12" s="166"/>
      <c r="JB12" s="166"/>
      <c r="JC12" s="166"/>
      <c r="JD12" s="166"/>
      <c r="JE12" s="166"/>
      <c r="JF12" s="166"/>
      <c r="JG12" s="166"/>
      <c r="JH12" s="166"/>
      <c r="JI12" s="166"/>
      <c r="JJ12" s="166"/>
      <c r="JK12" s="166"/>
      <c r="JL12" s="166"/>
      <c r="JM12" s="166"/>
      <c r="JN12" s="166"/>
      <c r="JO12" s="166"/>
      <c r="JP12" s="166"/>
      <c r="JQ12" s="166"/>
      <c r="JR12" s="166"/>
      <c r="JS12" s="166"/>
      <c r="JT12" s="166"/>
      <c r="JU12" s="166"/>
      <c r="JV12" s="166"/>
      <c r="JW12" s="166"/>
      <c r="JX12" s="166"/>
      <c r="JY12" s="166"/>
      <c r="JZ12" s="166"/>
      <c r="KA12" s="166"/>
      <c r="KB12" s="166"/>
      <c r="KC12" s="166"/>
      <c r="KD12" s="166"/>
      <c r="KE12" s="166"/>
      <c r="KF12" s="166"/>
      <c r="KG12" s="166"/>
      <c r="KH12" s="166"/>
      <c r="KI12" s="166"/>
      <c r="KJ12" s="166"/>
      <c r="KK12" s="166"/>
      <c r="KL12" s="166"/>
      <c r="KM12" s="166"/>
      <c r="KN12" s="166"/>
      <c r="KO12" s="166"/>
      <c r="KP12" s="166"/>
      <c r="KQ12" s="166"/>
      <c r="KR12" s="166"/>
      <c r="KS12" s="166"/>
      <c r="KT12" s="166"/>
      <c r="KU12" s="166"/>
      <c r="KV12" s="166"/>
      <c r="KW12" s="166"/>
      <c r="KX12" s="166"/>
      <c r="KY12" s="166"/>
      <c r="KZ12" s="166"/>
      <c r="LA12" s="166"/>
      <c r="LB12" s="166"/>
      <c r="LC12" s="166"/>
      <c r="LD12" s="166"/>
      <c r="LE12" s="166"/>
      <c r="LF12" s="166"/>
      <c r="LG12" s="166"/>
      <c r="LH12" s="166"/>
      <c r="LI12" s="166"/>
      <c r="LJ12" s="166"/>
      <c r="LK12" s="166"/>
      <c r="LL12" s="166"/>
      <c r="LM12" s="166"/>
      <c r="LN12" s="166"/>
      <c r="LO12" s="166"/>
      <c r="LP12" s="166"/>
      <c r="LQ12" s="166"/>
      <c r="LR12" s="166"/>
      <c r="LS12" s="166"/>
      <c r="LT12" s="166"/>
      <c r="LU12" s="166"/>
      <c r="LV12" s="166"/>
      <c r="LW12" s="166"/>
      <c r="LX12" s="166"/>
      <c r="LY12" s="166"/>
      <c r="LZ12" s="166"/>
      <c r="MA12" s="166"/>
      <c r="MB12" s="166"/>
      <c r="MC12" s="166"/>
      <c r="MD12" s="166"/>
      <c r="ME12" s="166"/>
      <c r="MF12" s="166"/>
      <c r="MG12" s="166"/>
      <c r="MH12" s="166"/>
      <c r="MI12" s="166"/>
      <c r="MJ12" s="166"/>
      <c r="MK12" s="166"/>
      <c r="ML12" s="166"/>
      <c r="MM12" s="166"/>
      <c r="MN12" s="166"/>
      <c r="MO12" s="166"/>
      <c r="MP12" s="166"/>
      <c r="MQ12" s="166"/>
      <c r="MR12" s="166"/>
      <c r="MS12" s="166"/>
      <c r="MT12" s="166"/>
      <c r="MU12" s="166"/>
      <c r="MV12" s="166"/>
      <c r="MW12" s="166"/>
      <c r="MX12" s="166"/>
      <c r="MY12" s="166"/>
      <c r="MZ12" s="166"/>
      <c r="NA12" s="166"/>
      <c r="NB12" s="166"/>
      <c r="NC12" s="166"/>
      <c r="ND12" s="166"/>
      <c r="NE12" s="166"/>
      <c r="NF12" s="166"/>
      <c r="NG12" s="166"/>
      <c r="NH12" s="166"/>
      <c r="NI12" s="166"/>
      <c r="NJ12" s="166"/>
      <c r="NK12" s="166"/>
      <c r="NL12" s="166"/>
      <c r="NM12" s="166"/>
      <c r="NN12" s="166"/>
      <c r="NO12" s="166"/>
      <c r="NP12" s="166"/>
      <c r="NQ12" s="166"/>
      <c r="NR12" s="166"/>
      <c r="NS12" s="166"/>
      <c r="NT12" s="166"/>
      <c r="NU12" s="166"/>
      <c r="NV12" s="166"/>
      <c r="NW12" s="166"/>
      <c r="NX12" s="166"/>
      <c r="NY12" s="166"/>
      <c r="NZ12" s="166"/>
      <c r="OA12" s="166"/>
      <c r="OB12" s="166"/>
      <c r="OC12" s="166"/>
      <c r="OD12" s="166"/>
      <c r="OE12" s="166"/>
      <c r="OF12" s="166"/>
      <c r="OG12" s="166"/>
      <c r="OH12" s="166"/>
      <c r="OI12" s="166"/>
      <c r="OJ12" s="166"/>
      <c r="OK12" s="166"/>
      <c r="OL12" s="166"/>
      <c r="OM12" s="166"/>
      <c r="ON12" s="166"/>
      <c r="OO12" s="166"/>
      <c r="OP12" s="166"/>
      <c r="OQ12" s="166"/>
      <c r="OR12" s="166"/>
      <c r="OS12" s="166"/>
      <c r="OT12" s="166"/>
      <c r="OU12" s="166"/>
      <c r="OV12" s="166"/>
      <c r="OW12" s="166"/>
      <c r="OX12" s="166"/>
      <c r="OY12" s="166"/>
      <c r="OZ12" s="166"/>
      <c r="PA12" s="166"/>
      <c r="PB12" s="166"/>
      <c r="PC12" s="166"/>
      <c r="PD12" s="166"/>
      <c r="PE12" s="166"/>
      <c r="PF12" s="166"/>
      <c r="PG12" s="166"/>
      <c r="PH12" s="166"/>
      <c r="PI12" s="166"/>
      <c r="PJ12" s="166"/>
      <c r="PK12" s="166"/>
      <c r="PL12" s="166"/>
      <c r="PM12" s="166"/>
      <c r="PN12" s="166"/>
      <c r="PO12" s="166"/>
      <c r="PP12" s="166"/>
      <c r="PQ12" s="166"/>
      <c r="PR12" s="166"/>
      <c r="PS12" s="166"/>
      <c r="PT12" s="166"/>
      <c r="PU12" s="166"/>
      <c r="PV12" s="166"/>
      <c r="PW12" s="166"/>
      <c r="PX12" s="166"/>
      <c r="PY12" s="166"/>
      <c r="PZ12" s="166"/>
      <c r="QA12" s="166"/>
      <c r="QB12" s="166"/>
      <c r="QC12" s="166"/>
      <c r="QD12" s="166"/>
      <c r="QE12" s="166"/>
      <c r="QF12" s="166"/>
      <c r="QG12" s="166"/>
      <c r="QH12" s="166"/>
      <c r="QI12" s="166"/>
      <c r="QJ12" s="166"/>
      <c r="QK12" s="166"/>
      <c r="QL12" s="166"/>
      <c r="QM12" s="166"/>
      <c r="QN12" s="166"/>
      <c r="QO12" s="166"/>
      <c r="QP12" s="166"/>
      <c r="QQ12" s="166"/>
      <c r="QR12" s="166"/>
      <c r="QS12" s="166"/>
      <c r="QT12" s="166"/>
      <c r="QU12" s="166"/>
      <c r="QV12" s="166"/>
      <c r="QW12" s="166"/>
      <c r="QX12" s="166"/>
      <c r="QY12" s="166"/>
      <c r="QZ12" s="166"/>
      <c r="RA12" s="166"/>
      <c r="RB12" s="166"/>
      <c r="RC12" s="166"/>
      <c r="RD12" s="166"/>
      <c r="RE12" s="166"/>
      <c r="RF12" s="166"/>
      <c r="RG12" s="166"/>
      <c r="RH12" s="166"/>
      <c r="RI12" s="166"/>
      <c r="RJ12" s="166"/>
      <c r="RK12" s="166"/>
      <c r="RL12" s="166"/>
      <c r="RM12" s="166"/>
      <c r="RN12" s="166"/>
      <c r="RO12" s="166"/>
      <c r="RP12" s="166"/>
      <c r="RQ12" s="166"/>
      <c r="RR12" s="166"/>
      <c r="RS12" s="166"/>
      <c r="RT12" s="166"/>
      <c r="RU12" s="166"/>
      <c r="RV12" s="166"/>
      <c r="RW12" s="166"/>
      <c r="RX12" s="166"/>
      <c r="RY12" s="166"/>
      <c r="RZ12" s="166"/>
      <c r="SA12" s="166"/>
      <c r="SB12" s="166"/>
      <c r="SC12" s="166"/>
      <c r="SD12" s="166"/>
      <c r="SE12" s="166"/>
      <c r="SF12" s="166"/>
      <c r="SG12" s="166"/>
      <c r="SH12" s="166"/>
      <c r="SI12" s="166"/>
      <c r="SJ12" s="166"/>
      <c r="SK12" s="166"/>
      <c r="SL12" s="166"/>
      <c r="SM12" s="166"/>
      <c r="SN12" s="166"/>
      <c r="SO12" s="166"/>
      <c r="SP12" s="166"/>
      <c r="SQ12" s="166"/>
      <c r="SR12" s="166"/>
      <c r="SS12" s="166"/>
      <c r="ST12" s="166"/>
      <c r="SU12" s="166"/>
      <c r="SV12" s="166"/>
      <c r="SW12" s="166"/>
      <c r="SX12" s="166"/>
      <c r="SY12" s="166"/>
      <c r="SZ12" s="166"/>
      <c r="TA12" s="166"/>
      <c r="TB12" s="166"/>
      <c r="TC12" s="166"/>
      <c r="TD12" s="166"/>
      <c r="TE12" s="166"/>
      <c r="TF12" s="166"/>
      <c r="TG12" s="166"/>
      <c r="TH12" s="166"/>
      <c r="TI12" s="166"/>
      <c r="TJ12" s="166"/>
      <c r="TK12" s="166"/>
      <c r="TL12" s="166"/>
      <c r="TM12" s="166"/>
      <c r="TN12" s="166"/>
      <c r="TO12" s="166"/>
      <c r="TP12" s="166"/>
      <c r="TQ12" s="166"/>
      <c r="TR12" s="166"/>
      <c r="TS12" s="166"/>
      <c r="TT12" s="166"/>
      <c r="TU12" s="166"/>
      <c r="TV12" s="166"/>
      <c r="TW12" s="166"/>
      <c r="TX12" s="166"/>
      <c r="TY12" s="166"/>
      <c r="TZ12" s="166"/>
      <c r="UA12" s="166"/>
      <c r="UB12" s="166"/>
      <c r="UC12" s="166"/>
      <c r="UD12" s="166"/>
      <c r="UE12" s="166"/>
      <c r="UF12" s="166"/>
      <c r="UG12" s="166"/>
      <c r="UH12" s="166"/>
      <c r="UI12" s="166"/>
      <c r="UJ12" s="166"/>
      <c r="UK12" s="166"/>
      <c r="UL12" s="166"/>
      <c r="UM12" s="166"/>
      <c r="UN12" s="166"/>
      <c r="UO12" s="166"/>
      <c r="UP12" s="166"/>
      <c r="UQ12" s="166"/>
      <c r="UR12" s="166"/>
      <c r="US12" s="166"/>
      <c r="UT12" s="166"/>
      <c r="UU12" s="166"/>
      <c r="UV12" s="166"/>
      <c r="UW12" s="166"/>
      <c r="UX12" s="166"/>
      <c r="UY12" s="166"/>
      <c r="UZ12" s="166"/>
      <c r="VA12" s="166"/>
      <c r="VB12" s="166"/>
      <c r="VC12" s="166"/>
      <c r="VD12" s="166"/>
      <c r="VE12" s="166"/>
      <c r="VF12" s="166"/>
      <c r="VG12" s="166"/>
      <c r="VH12" s="166"/>
      <c r="VI12" s="166"/>
      <c r="VJ12" s="166"/>
      <c r="VK12" s="166"/>
      <c r="VL12" s="166"/>
      <c r="VM12" s="166"/>
      <c r="VN12" s="166"/>
      <c r="VO12" s="166"/>
      <c r="VP12" s="166"/>
      <c r="VQ12" s="166"/>
      <c r="VR12" s="166"/>
      <c r="VS12" s="166"/>
      <c r="VT12" s="166"/>
      <c r="VU12" s="166"/>
      <c r="VV12" s="166"/>
      <c r="VW12" s="166"/>
      <c r="VX12" s="166"/>
      <c r="VY12" s="166"/>
      <c r="VZ12" s="166"/>
      <c r="WA12" s="166"/>
      <c r="WB12" s="166"/>
      <c r="WC12" s="166"/>
      <c r="WD12" s="166"/>
      <c r="WE12" s="166"/>
      <c r="WF12" s="166"/>
      <c r="WG12" s="166"/>
      <c r="WH12" s="166"/>
      <c r="WI12" s="166"/>
      <c r="WJ12" s="166"/>
      <c r="WK12" s="166"/>
      <c r="WL12" s="166"/>
      <c r="WM12" s="166"/>
      <c r="WN12" s="166"/>
      <c r="WO12" s="166"/>
      <c r="WP12" s="166"/>
      <c r="WQ12" s="166"/>
      <c r="WR12" s="166"/>
      <c r="WS12" s="166"/>
      <c r="WT12" s="166"/>
      <c r="WU12" s="166"/>
      <c r="WV12" s="166"/>
      <c r="WW12" s="166"/>
      <c r="WX12" s="166"/>
      <c r="WY12" s="166"/>
      <c r="WZ12" s="166"/>
      <c r="XA12" s="166"/>
      <c r="XB12" s="166"/>
      <c r="XC12" s="166"/>
      <c r="XD12" s="166"/>
      <c r="XE12" s="166"/>
      <c r="XF12" s="166"/>
      <c r="XG12" s="166"/>
      <c r="XH12" s="166"/>
      <c r="XI12" s="166"/>
      <c r="XJ12" s="166"/>
      <c r="XK12" s="166"/>
      <c r="XL12" s="166"/>
      <c r="XM12" s="166"/>
      <c r="XN12" s="166"/>
      <c r="XO12" s="166"/>
      <c r="XP12" s="166"/>
      <c r="XQ12" s="166"/>
      <c r="XR12" s="166"/>
      <c r="XS12" s="166"/>
      <c r="XT12" s="166"/>
      <c r="XU12" s="166"/>
      <c r="XV12" s="166"/>
      <c r="XW12" s="166"/>
      <c r="XX12" s="166"/>
      <c r="XY12" s="166"/>
      <c r="XZ12" s="166"/>
      <c r="YA12" s="166"/>
      <c r="YB12" s="166"/>
      <c r="YC12" s="166"/>
      <c r="YD12" s="166"/>
      <c r="YE12" s="166"/>
      <c r="YF12" s="166"/>
      <c r="YG12" s="166"/>
      <c r="YH12" s="166"/>
      <c r="YI12" s="166"/>
      <c r="YJ12" s="166"/>
      <c r="YK12" s="166"/>
      <c r="YL12" s="166"/>
      <c r="YM12" s="166"/>
      <c r="YN12" s="166"/>
      <c r="YO12" s="166"/>
      <c r="YP12" s="166"/>
      <c r="YQ12" s="166"/>
      <c r="YR12" s="166"/>
      <c r="YS12" s="166"/>
      <c r="YT12" s="166"/>
      <c r="YU12" s="166"/>
      <c r="YV12" s="166"/>
      <c r="YW12" s="166"/>
      <c r="YX12" s="166"/>
      <c r="YY12" s="166"/>
      <c r="YZ12" s="166"/>
      <c r="ZA12" s="166"/>
      <c r="ZB12" s="166"/>
      <c r="ZC12" s="166"/>
      <c r="ZD12" s="166"/>
      <c r="ZE12" s="166"/>
      <c r="ZF12" s="166"/>
      <c r="ZG12" s="166"/>
      <c r="ZH12" s="166"/>
      <c r="ZI12" s="166"/>
      <c r="ZJ12" s="166"/>
      <c r="ZK12" s="166"/>
      <c r="ZL12" s="166"/>
      <c r="ZM12" s="166"/>
      <c r="ZN12" s="166"/>
      <c r="ZO12" s="166"/>
      <c r="ZP12" s="166"/>
      <c r="ZQ12" s="166"/>
      <c r="ZR12" s="166"/>
      <c r="ZS12" s="166"/>
      <c r="ZT12" s="166"/>
      <c r="ZU12" s="166"/>
      <c r="ZV12" s="166"/>
      <c r="ZW12" s="166"/>
      <c r="ZX12" s="166"/>
      <c r="ZY12" s="166"/>
      <c r="ZZ12" s="166"/>
    </row>
    <row r="13" spans="1:702" ht="15.75" x14ac:dyDescent="0.25">
      <c r="A13" s="215">
        <v>5</v>
      </c>
      <c r="B13" s="222" t="s">
        <v>24</v>
      </c>
      <c r="C13" s="219"/>
      <c r="D13" s="178"/>
      <c r="E13" s="190">
        <v>538</v>
      </c>
      <c r="F13" s="190">
        <v>858</v>
      </c>
      <c r="G13" s="190">
        <v>660</v>
      </c>
      <c r="H13" s="190">
        <v>662</v>
      </c>
      <c r="I13" s="190">
        <v>729</v>
      </c>
      <c r="J13" s="190">
        <v>606</v>
      </c>
      <c r="K13" s="190">
        <v>676</v>
      </c>
      <c r="L13" s="190">
        <v>743</v>
      </c>
      <c r="M13" s="190">
        <v>708</v>
      </c>
      <c r="N13" s="190">
        <v>705</v>
      </c>
      <c r="O13" s="190">
        <v>636</v>
      </c>
      <c r="P13" s="190">
        <v>622</v>
      </c>
      <c r="Q13" s="190">
        <v>655</v>
      </c>
      <c r="R13" s="190">
        <v>678</v>
      </c>
      <c r="S13" s="190">
        <v>590</v>
      </c>
      <c r="T13" s="190">
        <v>552</v>
      </c>
      <c r="U13" s="190">
        <v>617</v>
      </c>
      <c r="V13" s="190">
        <v>567</v>
      </c>
      <c r="W13" s="190">
        <v>609</v>
      </c>
      <c r="X13" s="190">
        <v>639</v>
      </c>
      <c r="Y13" s="190">
        <v>626</v>
      </c>
      <c r="Z13" s="190">
        <v>721</v>
      </c>
      <c r="AA13" s="190">
        <v>610</v>
      </c>
      <c r="AB13" s="190">
        <v>649</v>
      </c>
      <c r="AC13" s="190">
        <v>653</v>
      </c>
      <c r="AD13" s="190">
        <v>648</v>
      </c>
      <c r="AE13" s="190">
        <v>604</v>
      </c>
      <c r="AF13" s="190">
        <v>572</v>
      </c>
      <c r="AG13" s="190">
        <v>506</v>
      </c>
      <c r="AH13" s="190">
        <v>574</v>
      </c>
      <c r="AI13" s="191">
        <v>686</v>
      </c>
      <c r="AJ13" s="192">
        <v>176</v>
      </c>
      <c r="AK13" s="193">
        <v>446</v>
      </c>
      <c r="AL13" s="193">
        <v>480</v>
      </c>
      <c r="AM13" s="193">
        <v>443</v>
      </c>
      <c r="AN13" s="193">
        <v>447</v>
      </c>
      <c r="AO13" s="193">
        <v>422</v>
      </c>
      <c r="AP13" s="193">
        <v>458</v>
      </c>
      <c r="AQ13" s="193">
        <v>495</v>
      </c>
      <c r="AR13" s="193">
        <v>431</v>
      </c>
      <c r="AS13" s="193">
        <v>402</v>
      </c>
      <c r="AT13" s="193">
        <v>465</v>
      </c>
      <c r="AU13" s="193">
        <v>440</v>
      </c>
      <c r="AV13" s="193">
        <v>461</v>
      </c>
      <c r="AW13" s="193">
        <v>470</v>
      </c>
      <c r="AX13" s="193">
        <v>527</v>
      </c>
      <c r="AY13" s="193">
        <v>518</v>
      </c>
      <c r="AZ13" s="193">
        <v>491</v>
      </c>
      <c r="BA13" s="193">
        <v>470</v>
      </c>
      <c r="BB13" s="193">
        <v>479</v>
      </c>
      <c r="BC13" s="193">
        <v>482</v>
      </c>
      <c r="BD13" s="193">
        <v>485</v>
      </c>
      <c r="BE13" s="193">
        <v>445</v>
      </c>
      <c r="BF13" s="193">
        <v>470</v>
      </c>
      <c r="BG13" s="193">
        <v>473</v>
      </c>
      <c r="BH13" s="193">
        <v>512</v>
      </c>
      <c r="BI13" s="193">
        <v>456</v>
      </c>
      <c r="BJ13" s="193">
        <v>562</v>
      </c>
      <c r="BK13" s="193">
        <v>536</v>
      </c>
      <c r="BL13" s="193">
        <v>526</v>
      </c>
      <c r="BM13" s="193">
        <v>465</v>
      </c>
      <c r="BN13" s="193">
        <v>543</v>
      </c>
      <c r="BO13" s="193">
        <v>429</v>
      </c>
      <c r="BP13" s="193">
        <v>426</v>
      </c>
      <c r="BQ13" s="193">
        <v>453</v>
      </c>
      <c r="BR13" s="193">
        <v>463</v>
      </c>
      <c r="BS13" s="193">
        <v>472</v>
      </c>
      <c r="BT13" s="193">
        <v>514</v>
      </c>
      <c r="BU13" s="193">
        <v>426</v>
      </c>
      <c r="BV13" s="193">
        <v>538</v>
      </c>
      <c r="BW13" s="193">
        <v>426</v>
      </c>
      <c r="BX13" s="193">
        <v>416</v>
      </c>
      <c r="BY13" s="193">
        <v>445</v>
      </c>
      <c r="BZ13" s="193">
        <v>518</v>
      </c>
      <c r="CA13" s="193">
        <v>407</v>
      </c>
      <c r="CB13" s="193">
        <v>369</v>
      </c>
      <c r="CC13" s="193">
        <v>384</v>
      </c>
      <c r="CD13" s="193">
        <v>336</v>
      </c>
      <c r="CE13" s="193">
        <v>381</v>
      </c>
      <c r="CF13" s="193">
        <v>355</v>
      </c>
      <c r="CG13" s="193">
        <v>308</v>
      </c>
      <c r="CH13" s="193">
        <v>416</v>
      </c>
      <c r="CI13" s="193">
        <v>332</v>
      </c>
      <c r="CJ13" s="193">
        <v>345</v>
      </c>
      <c r="CK13" s="193">
        <v>310</v>
      </c>
      <c r="CL13" s="193">
        <v>419</v>
      </c>
      <c r="CM13" s="193">
        <v>352</v>
      </c>
      <c r="CN13" s="193">
        <v>359</v>
      </c>
      <c r="CO13" s="193">
        <v>354</v>
      </c>
      <c r="CP13" s="193">
        <v>325</v>
      </c>
      <c r="CQ13" s="193">
        <v>378</v>
      </c>
      <c r="CR13" s="193">
        <v>378</v>
      </c>
      <c r="CS13" s="193">
        <v>353</v>
      </c>
      <c r="CT13" s="193">
        <v>395</v>
      </c>
      <c r="CU13" s="193">
        <v>328</v>
      </c>
      <c r="CV13" s="193">
        <v>487</v>
      </c>
      <c r="CW13" s="193">
        <v>339</v>
      </c>
      <c r="CX13" s="193">
        <v>131</v>
      </c>
      <c r="CY13" s="193">
        <v>106</v>
      </c>
      <c r="CZ13" s="193">
        <v>125</v>
      </c>
      <c r="DA13" s="193">
        <v>128</v>
      </c>
      <c r="DB13" s="193">
        <v>194</v>
      </c>
      <c r="DC13" s="193">
        <v>234</v>
      </c>
      <c r="DD13" s="193">
        <v>211</v>
      </c>
      <c r="DE13" s="193">
        <v>194</v>
      </c>
      <c r="DF13" s="193">
        <v>198</v>
      </c>
      <c r="DG13" s="193">
        <v>202</v>
      </c>
      <c r="DH13" s="193">
        <v>199</v>
      </c>
      <c r="DI13" s="193">
        <v>155</v>
      </c>
      <c r="DJ13" s="193">
        <v>139</v>
      </c>
      <c r="DK13" s="193">
        <v>165</v>
      </c>
      <c r="DL13" s="193">
        <v>189</v>
      </c>
      <c r="DM13" s="193">
        <v>176</v>
      </c>
      <c r="DN13" s="193">
        <v>248</v>
      </c>
      <c r="DO13" s="193">
        <v>357</v>
      </c>
      <c r="DP13" s="193">
        <v>485</v>
      </c>
      <c r="DQ13" s="193">
        <v>432</v>
      </c>
      <c r="DR13" s="193">
        <v>389</v>
      </c>
      <c r="DS13" s="193">
        <v>340</v>
      </c>
      <c r="DT13" s="193">
        <v>364</v>
      </c>
      <c r="DU13" s="193">
        <v>294</v>
      </c>
      <c r="DV13" s="193">
        <v>340</v>
      </c>
      <c r="DW13" s="193">
        <v>379</v>
      </c>
      <c r="DX13" s="193">
        <v>313</v>
      </c>
      <c r="DY13" s="193">
        <v>378</v>
      </c>
      <c r="DZ13" s="193">
        <v>355</v>
      </c>
      <c r="EA13" s="193">
        <v>307</v>
      </c>
      <c r="EB13" s="193">
        <v>339</v>
      </c>
      <c r="EC13" s="193">
        <v>445</v>
      </c>
      <c r="ED13" s="193">
        <v>494</v>
      </c>
      <c r="EE13" s="193">
        <v>461</v>
      </c>
      <c r="EF13" s="193">
        <v>588</v>
      </c>
      <c r="EG13" s="193">
        <v>421</v>
      </c>
      <c r="EH13" s="193">
        <v>556</v>
      </c>
      <c r="EI13" s="193">
        <v>587</v>
      </c>
      <c r="EJ13" s="193">
        <v>509</v>
      </c>
      <c r="EK13" s="193">
        <v>619</v>
      </c>
      <c r="EL13" s="193">
        <v>528</v>
      </c>
      <c r="EM13" s="193">
        <v>583</v>
      </c>
      <c r="EN13" s="193">
        <v>616</v>
      </c>
      <c r="EO13" s="193">
        <v>525</v>
      </c>
      <c r="EP13" s="193">
        <v>717</v>
      </c>
      <c r="EQ13" s="193">
        <v>665</v>
      </c>
      <c r="ER13" s="193">
        <v>575</v>
      </c>
      <c r="ES13" s="193">
        <v>684</v>
      </c>
      <c r="ET13" s="193">
        <v>697</v>
      </c>
      <c r="EU13" s="193">
        <v>698</v>
      </c>
      <c r="EV13" s="254">
        <v>865</v>
      </c>
      <c r="EW13" s="254">
        <v>840</v>
      </c>
      <c r="EX13" s="254">
        <v>698</v>
      </c>
      <c r="EY13" s="254">
        <v>791</v>
      </c>
      <c r="EZ13" s="254">
        <v>702</v>
      </c>
      <c r="FA13" s="254">
        <v>560</v>
      </c>
      <c r="FB13" s="254">
        <v>705</v>
      </c>
      <c r="FC13" s="254">
        <v>686</v>
      </c>
      <c r="FD13" s="254">
        <v>729</v>
      </c>
      <c r="FE13" s="254">
        <v>673</v>
      </c>
      <c r="FF13" s="254">
        <v>909</v>
      </c>
      <c r="FG13" s="254">
        <v>800</v>
      </c>
      <c r="FH13" s="254">
        <v>900</v>
      </c>
      <c r="FI13" s="254">
        <v>788</v>
      </c>
      <c r="FJ13" s="254">
        <v>910</v>
      </c>
      <c r="FK13" s="254">
        <v>887</v>
      </c>
      <c r="FL13" s="254">
        <v>744</v>
      </c>
      <c r="FM13" s="254">
        <v>703</v>
      </c>
      <c r="FN13" s="254">
        <v>831</v>
      </c>
      <c r="FO13" s="254">
        <v>747</v>
      </c>
      <c r="FP13" s="254">
        <v>804</v>
      </c>
      <c r="FQ13" s="254">
        <v>693</v>
      </c>
      <c r="FR13" s="254">
        <v>725</v>
      </c>
      <c r="FS13" s="254">
        <v>634</v>
      </c>
    </row>
    <row r="14" spans="1:702" ht="15.75" x14ac:dyDescent="0.25">
      <c r="A14" s="215" t="s">
        <v>124</v>
      </c>
      <c r="B14" s="242" t="s">
        <v>117</v>
      </c>
      <c r="C14" s="243" t="s">
        <v>132</v>
      </c>
      <c r="D14" s="178"/>
      <c r="E14" s="190">
        <v>92</v>
      </c>
      <c r="F14" s="190">
        <v>97</v>
      </c>
      <c r="G14" s="190">
        <v>91</v>
      </c>
      <c r="H14" s="190">
        <v>87</v>
      </c>
      <c r="I14" s="190">
        <v>80</v>
      </c>
      <c r="J14" s="190">
        <v>76</v>
      </c>
      <c r="K14" s="190">
        <v>97</v>
      </c>
      <c r="L14" s="190">
        <v>90</v>
      </c>
      <c r="M14" s="190">
        <v>73</v>
      </c>
      <c r="N14" s="190">
        <v>90</v>
      </c>
      <c r="O14" s="190">
        <v>91</v>
      </c>
      <c r="P14" s="190">
        <v>81</v>
      </c>
      <c r="Q14" s="190">
        <v>88</v>
      </c>
      <c r="R14" s="190">
        <v>114</v>
      </c>
      <c r="S14" s="190">
        <v>82</v>
      </c>
      <c r="T14" s="190">
        <v>87</v>
      </c>
      <c r="U14" s="190">
        <v>73</v>
      </c>
      <c r="V14" s="190">
        <v>89</v>
      </c>
      <c r="W14" s="190">
        <v>96</v>
      </c>
      <c r="X14" s="190">
        <v>120</v>
      </c>
      <c r="Y14" s="190">
        <v>95</v>
      </c>
      <c r="Z14" s="190">
        <v>135</v>
      </c>
      <c r="AA14" s="190">
        <v>117</v>
      </c>
      <c r="AB14" s="190">
        <v>127</v>
      </c>
      <c r="AC14" s="190">
        <v>120</v>
      </c>
      <c r="AD14" s="190">
        <v>132</v>
      </c>
      <c r="AE14" s="190">
        <v>108</v>
      </c>
      <c r="AF14" s="190">
        <v>127</v>
      </c>
      <c r="AG14" s="190">
        <v>117</v>
      </c>
      <c r="AH14" s="190">
        <v>130</v>
      </c>
      <c r="AI14" s="191">
        <v>79</v>
      </c>
      <c r="AJ14" s="192">
        <v>3</v>
      </c>
      <c r="AK14" s="193">
        <v>60</v>
      </c>
      <c r="AL14" s="193">
        <v>117</v>
      </c>
      <c r="AM14" s="193">
        <v>109</v>
      </c>
      <c r="AN14" s="193">
        <v>104</v>
      </c>
      <c r="AO14" s="193">
        <v>90</v>
      </c>
      <c r="AP14" s="193">
        <v>131</v>
      </c>
      <c r="AQ14" s="193">
        <v>134</v>
      </c>
      <c r="AR14" s="193">
        <v>106</v>
      </c>
      <c r="AS14" s="193">
        <v>83</v>
      </c>
      <c r="AT14" s="193">
        <v>114</v>
      </c>
      <c r="AU14" s="193">
        <v>87</v>
      </c>
      <c r="AV14" s="193">
        <v>126</v>
      </c>
      <c r="AW14" s="193">
        <v>95</v>
      </c>
      <c r="AX14" s="193">
        <v>133</v>
      </c>
      <c r="AY14" s="193">
        <v>134</v>
      </c>
      <c r="AZ14" s="193">
        <v>111</v>
      </c>
      <c r="BA14" s="193">
        <v>126</v>
      </c>
      <c r="BB14" s="193">
        <v>131</v>
      </c>
      <c r="BC14" s="193">
        <v>127</v>
      </c>
      <c r="BD14" s="193">
        <v>113</v>
      </c>
      <c r="BE14" s="193">
        <v>121</v>
      </c>
      <c r="BF14" s="193">
        <v>132</v>
      </c>
      <c r="BG14" s="193">
        <v>135</v>
      </c>
      <c r="BH14" s="193">
        <v>141</v>
      </c>
      <c r="BI14" s="193">
        <v>119</v>
      </c>
      <c r="BJ14" s="193">
        <v>183</v>
      </c>
      <c r="BK14" s="193">
        <v>203</v>
      </c>
      <c r="BL14" s="193">
        <v>169</v>
      </c>
      <c r="BM14" s="193">
        <v>121</v>
      </c>
      <c r="BN14" s="193">
        <v>172</v>
      </c>
      <c r="BO14" s="193">
        <v>144</v>
      </c>
      <c r="BP14" s="193">
        <v>118</v>
      </c>
      <c r="BQ14" s="193">
        <v>131</v>
      </c>
      <c r="BR14" s="193">
        <v>119</v>
      </c>
      <c r="BS14" s="193">
        <v>139</v>
      </c>
      <c r="BT14" s="193">
        <v>145</v>
      </c>
      <c r="BU14" s="193">
        <v>120</v>
      </c>
      <c r="BV14" s="193">
        <v>130</v>
      </c>
      <c r="BW14" s="193">
        <v>113</v>
      </c>
      <c r="BX14" s="193">
        <v>110</v>
      </c>
      <c r="BY14" s="193">
        <v>110</v>
      </c>
      <c r="BZ14" s="193">
        <v>159</v>
      </c>
      <c r="CA14" s="193">
        <v>116</v>
      </c>
      <c r="CB14" s="193">
        <v>108</v>
      </c>
      <c r="CC14" s="193">
        <v>106</v>
      </c>
      <c r="CD14" s="193">
        <v>108</v>
      </c>
      <c r="CE14" s="193">
        <v>106</v>
      </c>
      <c r="CF14" s="193">
        <v>97</v>
      </c>
      <c r="CG14" s="193">
        <v>109</v>
      </c>
      <c r="CH14" s="193">
        <v>138</v>
      </c>
      <c r="CI14" s="193">
        <v>102</v>
      </c>
      <c r="CJ14" s="193">
        <v>91</v>
      </c>
      <c r="CK14" s="193">
        <v>104</v>
      </c>
      <c r="CL14" s="193">
        <v>131</v>
      </c>
      <c r="CM14" s="193">
        <v>104</v>
      </c>
      <c r="CN14" s="193">
        <v>95</v>
      </c>
      <c r="CO14" s="193">
        <v>95</v>
      </c>
      <c r="CP14" s="193">
        <v>92</v>
      </c>
      <c r="CQ14" s="193">
        <v>103</v>
      </c>
      <c r="CR14" s="193">
        <v>102</v>
      </c>
      <c r="CS14" s="193">
        <v>100</v>
      </c>
      <c r="CT14" s="193">
        <v>97</v>
      </c>
      <c r="CU14" s="193">
        <v>107</v>
      </c>
      <c r="CV14" s="193">
        <v>171</v>
      </c>
      <c r="CW14" s="193">
        <v>122</v>
      </c>
      <c r="CX14" s="193">
        <v>37</v>
      </c>
      <c r="CY14" s="193">
        <v>39</v>
      </c>
      <c r="CZ14" s="193">
        <v>38</v>
      </c>
      <c r="DA14" s="193">
        <v>39</v>
      </c>
      <c r="DB14" s="193">
        <v>51</v>
      </c>
      <c r="DC14" s="193">
        <v>65</v>
      </c>
      <c r="DD14" s="193">
        <v>62</v>
      </c>
      <c r="DE14" s="193">
        <v>67</v>
      </c>
      <c r="DF14" s="193">
        <v>87</v>
      </c>
      <c r="DG14" s="193">
        <v>58</v>
      </c>
      <c r="DH14" s="193">
        <v>61</v>
      </c>
      <c r="DI14" s="193">
        <v>45</v>
      </c>
      <c r="DJ14" s="193">
        <v>58</v>
      </c>
      <c r="DK14" s="193">
        <v>60</v>
      </c>
      <c r="DL14" s="193">
        <v>58</v>
      </c>
      <c r="DM14" s="193">
        <v>63</v>
      </c>
      <c r="DN14" s="193">
        <v>71</v>
      </c>
      <c r="DO14" s="193">
        <v>126</v>
      </c>
      <c r="DP14" s="193">
        <v>158</v>
      </c>
      <c r="DQ14" s="193">
        <v>148</v>
      </c>
      <c r="DR14" s="193">
        <v>159</v>
      </c>
      <c r="DS14" s="193">
        <v>108</v>
      </c>
      <c r="DT14" s="193">
        <v>132</v>
      </c>
      <c r="DU14" s="193">
        <v>122</v>
      </c>
      <c r="DV14" s="193">
        <v>130</v>
      </c>
      <c r="DW14" s="193">
        <v>137</v>
      </c>
      <c r="DX14" s="193">
        <v>127</v>
      </c>
      <c r="DY14" s="193">
        <v>141</v>
      </c>
      <c r="DZ14" s="193">
        <v>138</v>
      </c>
      <c r="EA14" s="193">
        <v>129</v>
      </c>
      <c r="EB14" s="193">
        <v>132</v>
      </c>
      <c r="EC14" s="193">
        <v>361</v>
      </c>
      <c r="ED14" s="193">
        <v>444</v>
      </c>
      <c r="EE14" s="193">
        <v>411</v>
      </c>
      <c r="EF14" s="193">
        <v>519</v>
      </c>
      <c r="EG14" s="193">
        <v>379</v>
      </c>
      <c r="EH14" s="193">
        <v>511</v>
      </c>
      <c r="EI14" s="193">
        <v>533</v>
      </c>
      <c r="EJ14" s="193">
        <v>452</v>
      </c>
      <c r="EK14" s="193">
        <v>556</v>
      </c>
      <c r="EL14" s="193">
        <v>480</v>
      </c>
      <c r="EM14" s="193">
        <v>540</v>
      </c>
      <c r="EN14" s="193">
        <v>560</v>
      </c>
      <c r="EO14" s="193">
        <v>488</v>
      </c>
      <c r="EP14" s="193">
        <v>647</v>
      </c>
      <c r="EQ14" s="193">
        <v>600</v>
      </c>
      <c r="ER14" s="193">
        <v>508</v>
      </c>
      <c r="ES14" s="193">
        <v>618</v>
      </c>
      <c r="ET14" s="193">
        <v>626</v>
      </c>
      <c r="EU14" s="193">
        <v>611</v>
      </c>
      <c r="EV14" s="254">
        <v>772</v>
      </c>
      <c r="EW14" s="254">
        <v>705</v>
      </c>
      <c r="EX14" s="254">
        <v>605</v>
      </c>
      <c r="EY14" s="254">
        <v>704</v>
      </c>
      <c r="EZ14" s="254">
        <v>619</v>
      </c>
      <c r="FA14" s="254">
        <v>498</v>
      </c>
      <c r="FB14" s="254">
        <v>639</v>
      </c>
      <c r="FC14" s="254">
        <v>627</v>
      </c>
      <c r="FD14" s="254">
        <v>636</v>
      </c>
      <c r="FE14" s="254">
        <v>607</v>
      </c>
      <c r="FF14" s="254">
        <v>842</v>
      </c>
      <c r="FG14" s="254">
        <v>770</v>
      </c>
      <c r="FH14" s="254">
        <v>887</v>
      </c>
      <c r="FI14" s="254">
        <v>780</v>
      </c>
      <c r="FJ14" s="254">
        <v>899</v>
      </c>
      <c r="FK14" s="254">
        <v>871</v>
      </c>
      <c r="FL14" s="254">
        <v>736</v>
      </c>
      <c r="FM14" s="254">
        <v>693</v>
      </c>
      <c r="FN14" s="254">
        <v>820</v>
      </c>
      <c r="FO14" s="254">
        <v>739</v>
      </c>
      <c r="FP14" s="254">
        <v>790</v>
      </c>
      <c r="FQ14" s="254">
        <v>684</v>
      </c>
      <c r="FR14" s="254">
        <v>715</v>
      </c>
      <c r="FS14" s="254">
        <v>622</v>
      </c>
    </row>
    <row r="15" spans="1:702" ht="15.75" x14ac:dyDescent="0.25">
      <c r="A15" s="172" t="s">
        <v>131</v>
      </c>
      <c r="B15" s="244" t="s">
        <v>118</v>
      </c>
      <c r="C15" s="246" t="s">
        <v>96</v>
      </c>
      <c r="D15" s="195"/>
      <c r="E15" s="196">
        <v>0.17100371747211895</v>
      </c>
      <c r="F15" s="196">
        <v>0.11305361305361306</v>
      </c>
      <c r="G15" s="196">
        <v>0.13787878787878788</v>
      </c>
      <c r="H15" s="196">
        <v>0.13141993957703926</v>
      </c>
      <c r="I15" s="196">
        <v>0.10973936899862825</v>
      </c>
      <c r="J15" s="196">
        <v>0.1254125412541254</v>
      </c>
      <c r="K15" s="196">
        <v>0.14349112426035504</v>
      </c>
      <c r="L15" s="196">
        <v>0.12113055181695828</v>
      </c>
      <c r="M15" s="196">
        <v>0.10310734463276836</v>
      </c>
      <c r="N15" s="196">
        <v>0.1276595744680851</v>
      </c>
      <c r="O15" s="196">
        <v>0.1430817610062893</v>
      </c>
      <c r="P15" s="196">
        <v>0.13022508038585209</v>
      </c>
      <c r="Q15" s="196">
        <v>0.13435114503816795</v>
      </c>
      <c r="R15" s="196">
        <v>0.16814159292035399</v>
      </c>
      <c r="S15" s="196">
        <v>0.13898305084745763</v>
      </c>
      <c r="T15" s="196">
        <v>0.15760869565217392</v>
      </c>
      <c r="U15" s="196">
        <v>0.11831442463533225</v>
      </c>
      <c r="V15" s="196">
        <v>0.15696649029982362</v>
      </c>
      <c r="W15" s="196">
        <v>0.15763546798029557</v>
      </c>
      <c r="X15" s="196">
        <v>0.18779342723004694</v>
      </c>
      <c r="Y15" s="196">
        <v>0.15175718849840256</v>
      </c>
      <c r="Z15" s="196">
        <v>0.18723994452149792</v>
      </c>
      <c r="AA15" s="196">
        <v>0.19180327868852459</v>
      </c>
      <c r="AB15" s="196">
        <v>0.19568567026194145</v>
      </c>
      <c r="AC15" s="196">
        <v>0.18376722817764166</v>
      </c>
      <c r="AD15" s="196">
        <v>0.20370370370370369</v>
      </c>
      <c r="AE15" s="196">
        <v>0.17880794701986755</v>
      </c>
      <c r="AF15" s="196">
        <v>0.22202797202797203</v>
      </c>
      <c r="AG15" s="196">
        <v>0.23122529644268774</v>
      </c>
      <c r="AH15" s="196">
        <v>0.2264808362369338</v>
      </c>
      <c r="AI15" s="197">
        <v>0.11516034985422741</v>
      </c>
      <c r="AJ15" s="198">
        <v>1.7045454545454544E-2</v>
      </c>
      <c r="AK15" s="199">
        <v>0.13452914798206278</v>
      </c>
      <c r="AL15" s="199">
        <v>0.24374999999999999</v>
      </c>
      <c r="AM15" s="199">
        <v>0.24604966139954854</v>
      </c>
      <c r="AN15" s="199">
        <v>0.23266219239373601</v>
      </c>
      <c r="AO15" s="199">
        <v>0.2132701421800948</v>
      </c>
      <c r="AP15" s="199">
        <v>0.28602620087336245</v>
      </c>
      <c r="AQ15" s="199">
        <v>0.27070707070707073</v>
      </c>
      <c r="AR15" s="199">
        <v>0.24593967517401391</v>
      </c>
      <c r="AS15" s="199">
        <v>0.20646766169154229</v>
      </c>
      <c r="AT15" s="199">
        <v>0.24516129032258063</v>
      </c>
      <c r="AU15" s="199">
        <v>0.19772727272727272</v>
      </c>
      <c r="AV15" s="199">
        <v>0.27331887201735355</v>
      </c>
      <c r="AW15" s="199">
        <v>0.20212765957446807</v>
      </c>
      <c r="AX15" s="199">
        <v>0.25237191650853891</v>
      </c>
      <c r="AY15" s="199">
        <v>0.25868725868725867</v>
      </c>
      <c r="AZ15" s="199">
        <v>0.22606924643584522</v>
      </c>
      <c r="BA15" s="199">
        <v>0.26808510638297872</v>
      </c>
      <c r="BB15" s="199">
        <v>0.27348643006263046</v>
      </c>
      <c r="BC15" s="199">
        <v>0.26348547717842324</v>
      </c>
      <c r="BD15" s="199">
        <v>0.23298969072164949</v>
      </c>
      <c r="BE15" s="199">
        <v>0.27191011235955054</v>
      </c>
      <c r="BF15" s="199">
        <v>0.28085106382978725</v>
      </c>
      <c r="BG15" s="199">
        <v>0.28541226215644822</v>
      </c>
      <c r="BH15" s="199">
        <v>0.275390625</v>
      </c>
      <c r="BI15" s="199">
        <v>0.26096491228070173</v>
      </c>
      <c r="BJ15" s="199">
        <v>0.32562277580071175</v>
      </c>
      <c r="BK15" s="199">
        <v>0.3787313432835821</v>
      </c>
      <c r="BL15" s="199">
        <v>0.32129277566539927</v>
      </c>
      <c r="BM15" s="199">
        <v>0.26021505376344084</v>
      </c>
      <c r="BN15" s="199">
        <v>0.31675874769797424</v>
      </c>
      <c r="BO15" s="199">
        <v>0.33566433566433568</v>
      </c>
      <c r="BP15" s="199">
        <v>0.27699530516431925</v>
      </c>
      <c r="BQ15" s="199">
        <v>0.28918322295805737</v>
      </c>
      <c r="BR15" s="199">
        <v>0.25701943844492442</v>
      </c>
      <c r="BS15" s="199">
        <v>0.29449152542372881</v>
      </c>
      <c r="BT15" s="199">
        <v>0.28210116731517509</v>
      </c>
      <c r="BU15" s="199">
        <v>0.28169014084507044</v>
      </c>
      <c r="BV15" s="199">
        <v>0.24163568773234201</v>
      </c>
      <c r="BW15" s="199">
        <v>0.26525821596244131</v>
      </c>
      <c r="BX15" s="199">
        <v>0.26442307692307693</v>
      </c>
      <c r="BY15" s="199">
        <v>0.24719101123595505</v>
      </c>
      <c r="BZ15" s="199">
        <v>0.30694980694980695</v>
      </c>
      <c r="CA15" s="199">
        <v>0.28501228501228504</v>
      </c>
      <c r="CB15" s="199">
        <v>0.29268292682926828</v>
      </c>
      <c r="CC15" s="199">
        <v>0.27604166666666669</v>
      </c>
      <c r="CD15" s="199">
        <v>0.32142857142857145</v>
      </c>
      <c r="CE15" s="199">
        <v>0.27821522309711288</v>
      </c>
      <c r="CF15" s="199">
        <v>0.27323943661971833</v>
      </c>
      <c r="CG15" s="199">
        <v>0.35389610389610388</v>
      </c>
      <c r="CH15" s="199">
        <v>0.33173076923076922</v>
      </c>
      <c r="CI15" s="199">
        <v>0.30722891566265059</v>
      </c>
      <c r="CJ15" s="199">
        <v>0.26376811594202898</v>
      </c>
      <c r="CK15" s="199">
        <v>0.33548387096774196</v>
      </c>
      <c r="CL15" s="199">
        <v>0.31264916467780429</v>
      </c>
      <c r="CM15" s="199">
        <v>0.29545454545454547</v>
      </c>
      <c r="CN15" s="199">
        <v>0.26462395543175488</v>
      </c>
      <c r="CO15" s="199">
        <v>0.26836158192090398</v>
      </c>
      <c r="CP15" s="199">
        <v>0.28307692307692306</v>
      </c>
      <c r="CQ15" s="199">
        <v>0.2724867724867725</v>
      </c>
      <c r="CR15" s="199">
        <v>0.26984126984126983</v>
      </c>
      <c r="CS15" s="199">
        <v>0.28328611898016998</v>
      </c>
      <c r="CT15" s="199">
        <v>0.24556962025316456</v>
      </c>
      <c r="CU15" s="199">
        <v>0.32621951219512196</v>
      </c>
      <c r="CV15" s="199">
        <v>0.35112936344969198</v>
      </c>
      <c r="CW15" s="199">
        <v>0.35988200589970504</v>
      </c>
      <c r="CX15" s="199">
        <v>0.28244274809160308</v>
      </c>
      <c r="CY15" s="199">
        <v>0.36792452830188677</v>
      </c>
      <c r="CZ15" s="199">
        <v>0.30399999999999999</v>
      </c>
      <c r="DA15" s="199">
        <v>0.3046875</v>
      </c>
      <c r="DB15" s="199">
        <v>0.26288659793814434</v>
      </c>
      <c r="DC15" s="199">
        <v>0.27777777777777779</v>
      </c>
      <c r="DD15" s="199">
        <v>0.29383886255924169</v>
      </c>
      <c r="DE15" s="199">
        <v>0.34536082474226804</v>
      </c>
      <c r="DF15" s="199">
        <v>0.43939393939393939</v>
      </c>
      <c r="DG15" s="199">
        <v>0.28712871287128711</v>
      </c>
      <c r="DH15" s="199">
        <v>0.30653266331658291</v>
      </c>
      <c r="DI15" s="199">
        <v>0.29032258064516131</v>
      </c>
      <c r="DJ15" s="199">
        <v>0.41726618705035973</v>
      </c>
      <c r="DK15" s="199">
        <v>0.36363636363636365</v>
      </c>
      <c r="DL15" s="199">
        <v>0.30687830687830686</v>
      </c>
      <c r="DM15" s="199">
        <v>0.35795454545454547</v>
      </c>
      <c r="DN15" s="199">
        <v>0.28629032258064518</v>
      </c>
      <c r="DO15" s="199">
        <v>0.35294117647058826</v>
      </c>
      <c r="DP15" s="199">
        <v>0.32577319587628867</v>
      </c>
      <c r="DQ15" s="199">
        <v>0.34259259259259262</v>
      </c>
      <c r="DR15" s="199">
        <v>0.40874035989717222</v>
      </c>
      <c r="DS15" s="199">
        <v>0.31764705882352939</v>
      </c>
      <c r="DT15" s="199">
        <v>0.36263736263736263</v>
      </c>
      <c r="DU15" s="199">
        <v>0.41496598639455784</v>
      </c>
      <c r="DV15" s="199">
        <v>0.38235294117647056</v>
      </c>
      <c r="DW15" s="199">
        <v>0.36147757255936674</v>
      </c>
      <c r="DX15" s="199">
        <v>0.40575079872204473</v>
      </c>
      <c r="DY15" s="199">
        <v>0.37301587301587302</v>
      </c>
      <c r="DZ15" s="199">
        <v>0.38873239436619716</v>
      </c>
      <c r="EA15" s="199">
        <v>0.4201954397394137</v>
      </c>
      <c r="EB15" s="199">
        <v>0.38938053097345132</v>
      </c>
      <c r="EC15" s="199">
        <v>0.81123595505617974</v>
      </c>
      <c r="ED15" s="199">
        <v>0.89878542510121462</v>
      </c>
      <c r="EE15" s="199">
        <v>0.89154013015184386</v>
      </c>
      <c r="EF15" s="199">
        <v>0.88265306122448983</v>
      </c>
      <c r="EG15" s="199">
        <v>0.9002375296912114</v>
      </c>
      <c r="EH15" s="199">
        <v>0.9190647482014388</v>
      </c>
      <c r="EI15" s="199">
        <v>0.90800681431005115</v>
      </c>
      <c r="EJ15" s="199">
        <v>0.88801571709233795</v>
      </c>
      <c r="EK15" s="199">
        <v>0.89822294022617122</v>
      </c>
      <c r="EL15" s="199">
        <v>0.90909090909090906</v>
      </c>
      <c r="EM15" s="199">
        <v>0.92624356775300176</v>
      </c>
      <c r="EN15" s="199">
        <v>0.90909090909090906</v>
      </c>
      <c r="EO15" s="199">
        <v>0.92952380952380953</v>
      </c>
      <c r="EP15" s="199">
        <v>0.90237099023709899</v>
      </c>
      <c r="EQ15" s="199">
        <v>0.90225563909774431</v>
      </c>
      <c r="ER15" s="199">
        <v>0.88347826086956527</v>
      </c>
      <c r="ES15" s="199">
        <v>0.90350877192982459</v>
      </c>
      <c r="ET15" s="199">
        <v>0.89813486370157825</v>
      </c>
      <c r="EU15" s="199">
        <v>0.87535816618911177</v>
      </c>
      <c r="EV15" s="255">
        <v>0.89248554913294798</v>
      </c>
      <c r="EW15" s="255">
        <v>0.8392857142857143</v>
      </c>
      <c r="EX15" s="255">
        <v>0.86676217765042984</v>
      </c>
      <c r="EY15" s="255">
        <v>0.89001264222503162</v>
      </c>
      <c r="EZ15" s="255">
        <v>0.88176638176638178</v>
      </c>
      <c r="FA15" s="255">
        <v>0.88928571428571423</v>
      </c>
      <c r="FB15" s="255">
        <v>0.90638297872340423</v>
      </c>
      <c r="FC15" s="255">
        <v>0.9139941690962099</v>
      </c>
      <c r="FD15" s="255">
        <v>0.87242798353909468</v>
      </c>
      <c r="FE15" s="255">
        <v>0.90193164933135217</v>
      </c>
      <c r="FF15" s="255">
        <v>0.92629262926292633</v>
      </c>
      <c r="FG15" s="255">
        <v>0.96250000000000002</v>
      </c>
      <c r="FH15" s="255">
        <v>0.98555555555555552</v>
      </c>
      <c r="FI15" s="255">
        <v>0.98984771573604058</v>
      </c>
      <c r="FJ15" s="255">
        <v>0.98791208791208796</v>
      </c>
      <c r="FK15" s="255">
        <v>0.98196166854565947</v>
      </c>
      <c r="FL15" s="255">
        <v>0.989247311827957</v>
      </c>
      <c r="FM15" s="255">
        <v>0.98577524893314372</v>
      </c>
      <c r="FN15" s="255">
        <v>0.98676293622141997</v>
      </c>
      <c r="FO15" s="255">
        <v>0.98929049531459168</v>
      </c>
      <c r="FP15" s="255">
        <v>0.98258706467661694</v>
      </c>
      <c r="FQ15" s="255">
        <v>0.98701298701298701</v>
      </c>
      <c r="FR15" s="255">
        <v>0.98620689655172411</v>
      </c>
      <c r="FS15" s="255">
        <v>0.98107255520504733</v>
      </c>
    </row>
    <row r="16" spans="1:702" ht="15.75" x14ac:dyDescent="0.25">
      <c r="A16" s="215">
        <v>7</v>
      </c>
      <c r="B16" s="245" t="s">
        <v>119</v>
      </c>
      <c r="C16" s="221" t="s">
        <v>120</v>
      </c>
      <c r="D16" s="195"/>
      <c r="E16" s="190">
        <v>446</v>
      </c>
      <c r="F16" s="190">
        <v>761</v>
      </c>
      <c r="G16" s="190">
        <v>569</v>
      </c>
      <c r="H16" s="190">
        <v>575</v>
      </c>
      <c r="I16" s="190">
        <v>649</v>
      </c>
      <c r="J16" s="190">
        <v>530</v>
      </c>
      <c r="K16" s="190">
        <v>579</v>
      </c>
      <c r="L16" s="190">
        <v>653</v>
      </c>
      <c r="M16" s="190">
        <v>635</v>
      </c>
      <c r="N16" s="190">
        <v>615</v>
      </c>
      <c r="O16" s="190">
        <v>545</v>
      </c>
      <c r="P16" s="190">
        <v>541</v>
      </c>
      <c r="Q16" s="190">
        <v>567</v>
      </c>
      <c r="R16" s="190">
        <v>564</v>
      </c>
      <c r="S16" s="190">
        <v>508</v>
      </c>
      <c r="T16" s="190">
        <v>465</v>
      </c>
      <c r="U16" s="190">
        <v>544</v>
      </c>
      <c r="V16" s="190">
        <v>478</v>
      </c>
      <c r="W16" s="190">
        <v>513</v>
      </c>
      <c r="X16" s="190">
        <v>519</v>
      </c>
      <c r="Y16" s="190">
        <v>531</v>
      </c>
      <c r="Z16" s="190">
        <v>586</v>
      </c>
      <c r="AA16" s="190">
        <v>493</v>
      </c>
      <c r="AB16" s="190">
        <v>522</v>
      </c>
      <c r="AC16" s="190">
        <v>533</v>
      </c>
      <c r="AD16" s="190">
        <v>516</v>
      </c>
      <c r="AE16" s="190">
        <v>496</v>
      </c>
      <c r="AF16" s="190">
        <v>445</v>
      </c>
      <c r="AG16" s="190">
        <v>389</v>
      </c>
      <c r="AH16" s="190">
        <v>444</v>
      </c>
      <c r="AI16" s="191">
        <v>607</v>
      </c>
      <c r="AJ16" s="192">
        <v>173</v>
      </c>
      <c r="AK16" s="193">
        <v>386</v>
      </c>
      <c r="AL16" s="193">
        <v>363</v>
      </c>
      <c r="AM16" s="193">
        <v>334</v>
      </c>
      <c r="AN16" s="193">
        <v>343</v>
      </c>
      <c r="AO16" s="193">
        <v>332</v>
      </c>
      <c r="AP16" s="193">
        <v>327</v>
      </c>
      <c r="AQ16" s="193">
        <v>361</v>
      </c>
      <c r="AR16" s="193">
        <v>325</v>
      </c>
      <c r="AS16" s="193">
        <v>319</v>
      </c>
      <c r="AT16" s="193">
        <v>351</v>
      </c>
      <c r="AU16" s="193">
        <v>353</v>
      </c>
      <c r="AV16" s="193">
        <v>335</v>
      </c>
      <c r="AW16" s="193">
        <v>375</v>
      </c>
      <c r="AX16" s="193">
        <v>394</v>
      </c>
      <c r="AY16" s="193">
        <v>384</v>
      </c>
      <c r="AZ16" s="193">
        <v>380</v>
      </c>
      <c r="BA16" s="193">
        <v>344</v>
      </c>
      <c r="BB16" s="193">
        <v>348</v>
      </c>
      <c r="BC16" s="193">
        <v>355</v>
      </c>
      <c r="BD16" s="193">
        <v>372</v>
      </c>
      <c r="BE16" s="193">
        <v>324</v>
      </c>
      <c r="BF16" s="193">
        <v>338</v>
      </c>
      <c r="BG16" s="193">
        <v>338</v>
      </c>
      <c r="BH16" s="193">
        <v>371</v>
      </c>
      <c r="BI16" s="193">
        <v>337</v>
      </c>
      <c r="BJ16" s="193">
        <v>379</v>
      </c>
      <c r="BK16" s="193">
        <v>333</v>
      </c>
      <c r="BL16" s="193">
        <v>357</v>
      </c>
      <c r="BM16" s="193">
        <v>344</v>
      </c>
      <c r="BN16" s="193">
        <v>371</v>
      </c>
      <c r="BO16" s="193">
        <v>285</v>
      </c>
      <c r="BP16" s="193">
        <v>308</v>
      </c>
      <c r="BQ16" s="193">
        <v>322</v>
      </c>
      <c r="BR16" s="193">
        <v>344</v>
      </c>
      <c r="BS16" s="193">
        <v>333</v>
      </c>
      <c r="BT16" s="193">
        <v>369</v>
      </c>
      <c r="BU16" s="193">
        <v>306</v>
      </c>
      <c r="BV16" s="193">
        <v>408</v>
      </c>
      <c r="BW16" s="193">
        <v>313</v>
      </c>
      <c r="BX16" s="193">
        <v>306</v>
      </c>
      <c r="BY16" s="193">
        <v>335</v>
      </c>
      <c r="BZ16" s="193">
        <v>359</v>
      </c>
      <c r="CA16" s="193">
        <v>291</v>
      </c>
      <c r="CB16" s="193">
        <v>261</v>
      </c>
      <c r="CC16" s="193">
        <v>278</v>
      </c>
      <c r="CD16" s="193">
        <v>228</v>
      </c>
      <c r="CE16" s="193">
        <v>275</v>
      </c>
      <c r="CF16" s="193">
        <v>258</v>
      </c>
      <c r="CG16" s="193">
        <v>199</v>
      </c>
      <c r="CH16" s="193">
        <v>278</v>
      </c>
      <c r="CI16" s="193">
        <v>230</v>
      </c>
      <c r="CJ16" s="193">
        <v>254</v>
      </c>
      <c r="CK16" s="193">
        <v>206</v>
      </c>
      <c r="CL16" s="193">
        <v>288</v>
      </c>
      <c r="CM16" s="193">
        <v>248</v>
      </c>
      <c r="CN16" s="193">
        <v>264</v>
      </c>
      <c r="CO16" s="193">
        <v>259</v>
      </c>
      <c r="CP16" s="193">
        <v>233</v>
      </c>
      <c r="CQ16" s="193">
        <v>275</v>
      </c>
      <c r="CR16" s="193">
        <v>276</v>
      </c>
      <c r="CS16" s="193">
        <v>253</v>
      </c>
      <c r="CT16" s="193">
        <v>298</v>
      </c>
      <c r="CU16" s="193">
        <v>221</v>
      </c>
      <c r="CV16" s="193">
        <v>316</v>
      </c>
      <c r="CW16" s="193">
        <v>217</v>
      </c>
      <c r="CX16" s="193">
        <v>94</v>
      </c>
      <c r="CY16" s="193">
        <v>67</v>
      </c>
      <c r="CZ16" s="193">
        <v>87</v>
      </c>
      <c r="DA16" s="193">
        <v>89</v>
      </c>
      <c r="DB16" s="193">
        <v>143</v>
      </c>
      <c r="DC16" s="193">
        <v>169</v>
      </c>
      <c r="DD16" s="193">
        <v>149</v>
      </c>
      <c r="DE16" s="193">
        <v>127</v>
      </c>
      <c r="DF16" s="193">
        <v>111</v>
      </c>
      <c r="DG16" s="193">
        <v>144</v>
      </c>
      <c r="DH16" s="193">
        <v>138</v>
      </c>
      <c r="DI16" s="193">
        <v>110</v>
      </c>
      <c r="DJ16" s="193">
        <v>81</v>
      </c>
      <c r="DK16" s="193">
        <v>105</v>
      </c>
      <c r="DL16" s="193">
        <v>131</v>
      </c>
      <c r="DM16" s="193">
        <v>113</v>
      </c>
      <c r="DN16" s="193">
        <v>177</v>
      </c>
      <c r="DO16" s="193">
        <v>231</v>
      </c>
      <c r="DP16" s="193">
        <v>327</v>
      </c>
      <c r="DQ16" s="193">
        <v>284</v>
      </c>
      <c r="DR16" s="193">
        <v>230</v>
      </c>
      <c r="DS16" s="193">
        <v>232</v>
      </c>
      <c r="DT16" s="193">
        <v>232</v>
      </c>
      <c r="DU16" s="193">
        <v>172</v>
      </c>
      <c r="DV16" s="193">
        <v>210</v>
      </c>
      <c r="DW16" s="193">
        <v>242</v>
      </c>
      <c r="DX16" s="193">
        <v>186</v>
      </c>
      <c r="DY16" s="193">
        <v>237</v>
      </c>
      <c r="DZ16" s="193">
        <v>217</v>
      </c>
      <c r="EA16" s="193">
        <v>178</v>
      </c>
      <c r="EB16" s="193">
        <v>207</v>
      </c>
      <c r="EC16" s="193">
        <v>84</v>
      </c>
      <c r="ED16" s="193">
        <v>50</v>
      </c>
      <c r="EE16" s="193">
        <v>50</v>
      </c>
      <c r="EF16" s="193">
        <v>69</v>
      </c>
      <c r="EG16" s="193">
        <v>42</v>
      </c>
      <c r="EH16" s="193">
        <v>45</v>
      </c>
      <c r="EI16" s="193">
        <v>54</v>
      </c>
      <c r="EJ16" s="193">
        <v>57</v>
      </c>
      <c r="EK16" s="193">
        <v>63</v>
      </c>
      <c r="EL16" s="193">
        <v>48</v>
      </c>
      <c r="EM16" s="193">
        <v>43</v>
      </c>
      <c r="EN16" s="193">
        <v>56</v>
      </c>
      <c r="EO16" s="193">
        <v>37</v>
      </c>
      <c r="EP16" s="193">
        <v>70</v>
      </c>
      <c r="EQ16" s="193">
        <v>65</v>
      </c>
      <c r="ER16" s="193">
        <v>67</v>
      </c>
      <c r="ES16" s="193">
        <v>66</v>
      </c>
      <c r="ET16" s="193">
        <v>71</v>
      </c>
      <c r="EU16" s="193">
        <v>87</v>
      </c>
      <c r="EV16" s="254">
        <v>93</v>
      </c>
      <c r="EW16" s="254">
        <v>135</v>
      </c>
      <c r="EX16" s="254">
        <v>93</v>
      </c>
      <c r="EY16" s="254">
        <v>87</v>
      </c>
      <c r="EZ16" s="254">
        <v>83</v>
      </c>
      <c r="FA16" s="254">
        <v>62</v>
      </c>
      <c r="FB16" s="254">
        <v>66</v>
      </c>
      <c r="FC16" s="254">
        <v>59</v>
      </c>
      <c r="FD16" s="254">
        <v>93</v>
      </c>
      <c r="FE16" s="254">
        <v>66</v>
      </c>
      <c r="FF16" s="254">
        <v>67</v>
      </c>
      <c r="FG16" s="254">
        <v>30</v>
      </c>
      <c r="FH16" s="254">
        <v>13</v>
      </c>
      <c r="FI16" s="254">
        <v>8</v>
      </c>
      <c r="FJ16" s="254">
        <v>11</v>
      </c>
      <c r="FK16" s="254">
        <v>16</v>
      </c>
      <c r="FL16" s="254">
        <v>8</v>
      </c>
      <c r="FM16" s="254">
        <v>10</v>
      </c>
      <c r="FN16" s="254">
        <v>11</v>
      </c>
      <c r="FO16" s="254">
        <v>8</v>
      </c>
      <c r="FP16" s="254">
        <v>14</v>
      </c>
      <c r="FQ16" s="254">
        <v>9</v>
      </c>
      <c r="FR16" s="254">
        <v>10</v>
      </c>
      <c r="FS16" s="254">
        <v>12</v>
      </c>
    </row>
    <row r="17" spans="1:175" ht="15.75" x14ac:dyDescent="0.25">
      <c r="A17" s="215" t="s">
        <v>127</v>
      </c>
      <c r="B17" s="242" t="s">
        <v>121</v>
      </c>
      <c r="C17" s="248" t="s">
        <v>129</v>
      </c>
      <c r="D17" s="195"/>
      <c r="E17" s="190">
        <v>513</v>
      </c>
      <c r="F17" s="190">
        <v>827</v>
      </c>
      <c r="G17" s="190">
        <v>615</v>
      </c>
      <c r="H17" s="190">
        <v>602</v>
      </c>
      <c r="I17" s="190">
        <v>678</v>
      </c>
      <c r="J17" s="190">
        <v>566</v>
      </c>
      <c r="K17" s="190">
        <v>638</v>
      </c>
      <c r="L17" s="190">
        <v>705</v>
      </c>
      <c r="M17" s="190">
        <v>669</v>
      </c>
      <c r="N17" s="190">
        <v>662</v>
      </c>
      <c r="O17" s="190">
        <v>595</v>
      </c>
      <c r="P17" s="190">
        <v>570</v>
      </c>
      <c r="Q17" s="190">
        <v>621</v>
      </c>
      <c r="R17" s="190">
        <v>645</v>
      </c>
      <c r="S17" s="190">
        <v>556</v>
      </c>
      <c r="T17" s="190">
        <v>516</v>
      </c>
      <c r="U17" s="190">
        <v>568</v>
      </c>
      <c r="V17" s="190">
        <v>532</v>
      </c>
      <c r="W17" s="190">
        <v>569</v>
      </c>
      <c r="X17" s="190">
        <v>596</v>
      </c>
      <c r="Y17" s="190">
        <v>575</v>
      </c>
      <c r="Z17" s="190">
        <v>665</v>
      </c>
      <c r="AA17" s="190">
        <v>574</v>
      </c>
      <c r="AB17" s="190">
        <v>605</v>
      </c>
      <c r="AC17" s="190">
        <v>620</v>
      </c>
      <c r="AD17" s="190">
        <v>607</v>
      </c>
      <c r="AE17" s="190">
        <v>562</v>
      </c>
      <c r="AF17" s="190">
        <v>537</v>
      </c>
      <c r="AG17" s="190">
        <v>461</v>
      </c>
      <c r="AH17" s="190">
        <v>537</v>
      </c>
      <c r="AI17" s="191">
        <v>619</v>
      </c>
      <c r="AJ17" s="192">
        <v>172</v>
      </c>
      <c r="AK17" s="193">
        <v>434</v>
      </c>
      <c r="AL17" s="193">
        <v>467</v>
      </c>
      <c r="AM17" s="193">
        <v>431</v>
      </c>
      <c r="AN17" s="193">
        <v>432</v>
      </c>
      <c r="AO17" s="193">
        <v>406</v>
      </c>
      <c r="AP17" s="193">
        <v>445</v>
      </c>
      <c r="AQ17" s="193">
        <v>463</v>
      </c>
      <c r="AR17" s="193">
        <v>387</v>
      </c>
      <c r="AS17" s="193">
        <v>375</v>
      </c>
      <c r="AT17" s="193">
        <v>441</v>
      </c>
      <c r="AU17" s="193">
        <v>405</v>
      </c>
      <c r="AV17" s="193">
        <v>433</v>
      </c>
      <c r="AW17" s="193">
        <v>431</v>
      </c>
      <c r="AX17" s="193">
        <v>487</v>
      </c>
      <c r="AY17" s="193">
        <v>473</v>
      </c>
      <c r="AZ17" s="193">
        <v>454</v>
      </c>
      <c r="BA17" s="193">
        <v>450</v>
      </c>
      <c r="BB17" s="193">
        <v>454</v>
      </c>
      <c r="BC17" s="193">
        <v>464</v>
      </c>
      <c r="BD17" s="193">
        <v>458</v>
      </c>
      <c r="BE17" s="193">
        <v>427</v>
      </c>
      <c r="BF17" s="193">
        <v>448</v>
      </c>
      <c r="BG17" s="193">
        <v>451</v>
      </c>
      <c r="BH17" s="193">
        <v>493</v>
      </c>
      <c r="BI17" s="193">
        <v>435</v>
      </c>
      <c r="BJ17" s="193">
        <v>536</v>
      </c>
      <c r="BK17" s="193">
        <v>508</v>
      </c>
      <c r="BL17" s="193">
        <v>506</v>
      </c>
      <c r="BM17" s="193">
        <v>443</v>
      </c>
      <c r="BN17" s="193">
        <v>523</v>
      </c>
      <c r="BO17" s="193">
        <v>414</v>
      </c>
      <c r="BP17" s="193">
        <v>410</v>
      </c>
      <c r="BQ17" s="193">
        <v>442</v>
      </c>
      <c r="BR17" s="193">
        <v>453</v>
      </c>
      <c r="BS17" s="193">
        <v>458</v>
      </c>
      <c r="BT17" s="193">
        <v>498</v>
      </c>
      <c r="BU17" s="193">
        <v>418</v>
      </c>
      <c r="BV17" s="193">
        <v>524</v>
      </c>
      <c r="BW17" s="193">
        <v>414</v>
      </c>
      <c r="BX17" s="193">
        <v>404</v>
      </c>
      <c r="BY17" s="193">
        <v>424</v>
      </c>
      <c r="BZ17" s="193">
        <v>509</v>
      </c>
      <c r="CA17" s="193">
        <v>397</v>
      </c>
      <c r="CB17" s="193">
        <v>361</v>
      </c>
      <c r="CC17" s="193">
        <v>371</v>
      </c>
      <c r="CD17" s="193">
        <v>330</v>
      </c>
      <c r="CE17" s="193">
        <v>370</v>
      </c>
      <c r="CF17" s="193">
        <v>348</v>
      </c>
      <c r="CG17" s="193">
        <v>299</v>
      </c>
      <c r="CH17" s="193">
        <v>406</v>
      </c>
      <c r="CI17" s="193">
        <v>319</v>
      </c>
      <c r="CJ17" s="193">
        <v>328</v>
      </c>
      <c r="CK17" s="193">
        <v>294</v>
      </c>
      <c r="CL17" s="193">
        <v>404</v>
      </c>
      <c r="CM17" s="193">
        <v>343</v>
      </c>
      <c r="CN17" s="193">
        <v>344</v>
      </c>
      <c r="CO17" s="193">
        <v>346</v>
      </c>
      <c r="CP17" s="193">
        <v>319</v>
      </c>
      <c r="CQ17" s="193">
        <v>364</v>
      </c>
      <c r="CR17" s="193">
        <v>360</v>
      </c>
      <c r="CS17" s="193">
        <v>339</v>
      </c>
      <c r="CT17" s="193">
        <v>376</v>
      </c>
      <c r="CU17" s="193">
        <v>314</v>
      </c>
      <c r="CV17" s="193">
        <v>471</v>
      </c>
      <c r="CW17" s="193">
        <v>313</v>
      </c>
      <c r="CX17" s="193">
        <v>117</v>
      </c>
      <c r="CY17" s="193">
        <v>93</v>
      </c>
      <c r="CZ17" s="193">
        <v>116</v>
      </c>
      <c r="DA17" s="193">
        <v>113</v>
      </c>
      <c r="DB17" s="193">
        <v>176</v>
      </c>
      <c r="DC17" s="193">
        <v>219</v>
      </c>
      <c r="DD17" s="193">
        <v>194</v>
      </c>
      <c r="DE17" s="193">
        <v>177</v>
      </c>
      <c r="DF17" s="193">
        <v>183</v>
      </c>
      <c r="DG17" s="193">
        <v>183</v>
      </c>
      <c r="DH17" s="193">
        <v>176</v>
      </c>
      <c r="DI17" s="193">
        <v>138</v>
      </c>
      <c r="DJ17" s="193">
        <v>126</v>
      </c>
      <c r="DK17" s="193">
        <v>139</v>
      </c>
      <c r="DL17" s="193">
        <v>181</v>
      </c>
      <c r="DM17" s="193">
        <v>163</v>
      </c>
      <c r="DN17" s="193">
        <v>231</v>
      </c>
      <c r="DO17" s="193">
        <v>325</v>
      </c>
      <c r="DP17" s="193">
        <v>447</v>
      </c>
      <c r="DQ17" s="193">
        <v>385</v>
      </c>
      <c r="DR17" s="193">
        <v>355</v>
      </c>
      <c r="DS17" s="193">
        <v>302</v>
      </c>
      <c r="DT17" s="193">
        <v>325</v>
      </c>
      <c r="DU17" s="193">
        <v>253</v>
      </c>
      <c r="DV17" s="193">
        <v>297</v>
      </c>
      <c r="DW17" s="193">
        <v>345</v>
      </c>
      <c r="DX17" s="193">
        <v>285</v>
      </c>
      <c r="DY17" s="193">
        <v>346</v>
      </c>
      <c r="DZ17" s="193">
        <v>323</v>
      </c>
      <c r="EA17" s="193">
        <v>266</v>
      </c>
      <c r="EB17" s="193">
        <v>303</v>
      </c>
      <c r="EC17" s="193">
        <v>374</v>
      </c>
      <c r="ED17" s="193">
        <v>370</v>
      </c>
      <c r="EE17" s="193">
        <v>367</v>
      </c>
      <c r="EF17" s="193">
        <v>444</v>
      </c>
      <c r="EG17" s="193">
        <v>286</v>
      </c>
      <c r="EH17" s="193">
        <v>402</v>
      </c>
      <c r="EI17" s="193">
        <v>426</v>
      </c>
      <c r="EJ17" s="193">
        <v>370</v>
      </c>
      <c r="EK17" s="193">
        <v>439</v>
      </c>
      <c r="EL17" s="193">
        <v>389</v>
      </c>
      <c r="EM17" s="193">
        <v>395</v>
      </c>
      <c r="EN17" s="193">
        <v>447</v>
      </c>
      <c r="EO17" s="193">
        <v>386</v>
      </c>
      <c r="EP17" s="193">
        <v>471</v>
      </c>
      <c r="EQ17" s="193">
        <v>433</v>
      </c>
      <c r="ER17" s="193">
        <v>377</v>
      </c>
      <c r="ES17" s="193">
        <v>455</v>
      </c>
      <c r="ET17" s="193">
        <v>483</v>
      </c>
      <c r="EU17" s="193">
        <v>453</v>
      </c>
      <c r="EV17" s="254">
        <v>531</v>
      </c>
      <c r="EW17" s="254">
        <v>525</v>
      </c>
      <c r="EX17" s="254">
        <v>479</v>
      </c>
      <c r="EY17" s="254">
        <v>555</v>
      </c>
      <c r="EZ17" s="254">
        <v>445</v>
      </c>
      <c r="FA17" s="254">
        <v>362</v>
      </c>
      <c r="FB17" s="254">
        <v>456</v>
      </c>
      <c r="FC17" s="254">
        <v>429</v>
      </c>
      <c r="FD17" s="254">
        <v>427</v>
      </c>
      <c r="FE17" s="254">
        <v>435</v>
      </c>
      <c r="FF17" s="254">
        <v>594</v>
      </c>
      <c r="FG17" s="254">
        <v>529</v>
      </c>
      <c r="FH17" s="254">
        <v>653</v>
      </c>
      <c r="FI17" s="254">
        <v>560</v>
      </c>
      <c r="FJ17" s="254">
        <v>634</v>
      </c>
      <c r="FK17" s="254">
        <v>641</v>
      </c>
      <c r="FL17" s="254">
        <v>510</v>
      </c>
      <c r="FM17" s="254">
        <v>491</v>
      </c>
      <c r="FN17" s="254">
        <v>602</v>
      </c>
      <c r="FO17" s="254">
        <v>524</v>
      </c>
      <c r="FP17" s="254">
        <v>586</v>
      </c>
      <c r="FQ17" s="254">
        <v>499</v>
      </c>
      <c r="FR17" s="254">
        <v>551</v>
      </c>
      <c r="FS17" s="254">
        <v>436</v>
      </c>
    </row>
    <row r="18" spans="1:175" ht="15.75" x14ac:dyDescent="0.25">
      <c r="A18" s="215" t="s">
        <v>125</v>
      </c>
      <c r="B18" s="245"/>
      <c r="C18" s="249" t="s">
        <v>130</v>
      </c>
      <c r="D18" s="195"/>
      <c r="E18" s="190">
        <v>25</v>
      </c>
      <c r="F18" s="190">
        <v>31</v>
      </c>
      <c r="G18" s="190">
        <v>45</v>
      </c>
      <c r="H18" s="190">
        <v>60</v>
      </c>
      <c r="I18" s="190">
        <v>51</v>
      </c>
      <c r="J18" s="190">
        <v>40</v>
      </c>
      <c r="K18" s="190">
        <v>38</v>
      </c>
      <c r="L18" s="190">
        <v>38</v>
      </c>
      <c r="M18" s="190">
        <v>39</v>
      </c>
      <c r="N18" s="190">
        <v>43</v>
      </c>
      <c r="O18" s="190">
        <v>41</v>
      </c>
      <c r="P18" s="190">
        <v>52</v>
      </c>
      <c r="Q18" s="190">
        <v>34</v>
      </c>
      <c r="R18" s="190">
        <v>33</v>
      </c>
      <c r="S18" s="190">
        <v>34</v>
      </c>
      <c r="T18" s="190">
        <v>36</v>
      </c>
      <c r="U18" s="190">
        <v>49</v>
      </c>
      <c r="V18" s="190">
        <v>35</v>
      </c>
      <c r="W18" s="190">
        <v>40</v>
      </c>
      <c r="X18" s="190">
        <v>43</v>
      </c>
      <c r="Y18" s="190">
        <v>51</v>
      </c>
      <c r="Z18" s="190">
        <v>56</v>
      </c>
      <c r="AA18" s="190">
        <v>36</v>
      </c>
      <c r="AB18" s="190">
        <v>44</v>
      </c>
      <c r="AC18" s="190">
        <v>33</v>
      </c>
      <c r="AD18" s="190">
        <v>41</v>
      </c>
      <c r="AE18" s="190">
        <v>42</v>
      </c>
      <c r="AF18" s="190">
        <v>35</v>
      </c>
      <c r="AG18" s="190">
        <v>45</v>
      </c>
      <c r="AH18" s="190">
        <v>37</v>
      </c>
      <c r="AI18" s="191">
        <v>67</v>
      </c>
      <c r="AJ18" s="192">
        <v>4</v>
      </c>
      <c r="AK18" s="193">
        <v>12</v>
      </c>
      <c r="AL18" s="193">
        <v>14</v>
      </c>
      <c r="AM18" s="193">
        <v>15</v>
      </c>
      <c r="AN18" s="193">
        <v>15</v>
      </c>
      <c r="AO18" s="193">
        <v>17</v>
      </c>
      <c r="AP18" s="193">
        <v>14</v>
      </c>
      <c r="AQ18" s="193">
        <v>34</v>
      </c>
      <c r="AR18" s="193">
        <v>44</v>
      </c>
      <c r="AS18" s="193">
        <v>27</v>
      </c>
      <c r="AT18" s="193">
        <v>25</v>
      </c>
      <c r="AU18" s="193">
        <v>39</v>
      </c>
      <c r="AV18" s="193">
        <v>31</v>
      </c>
      <c r="AW18" s="193">
        <v>42</v>
      </c>
      <c r="AX18" s="193">
        <v>42</v>
      </c>
      <c r="AY18" s="193">
        <v>50</v>
      </c>
      <c r="AZ18" s="193">
        <v>39</v>
      </c>
      <c r="BA18" s="193">
        <v>23</v>
      </c>
      <c r="BB18" s="193">
        <v>29</v>
      </c>
      <c r="BC18" s="193">
        <v>19</v>
      </c>
      <c r="BD18" s="193">
        <v>29</v>
      </c>
      <c r="BE18" s="193">
        <v>20</v>
      </c>
      <c r="BF18" s="193">
        <v>22</v>
      </c>
      <c r="BG18" s="193">
        <v>24</v>
      </c>
      <c r="BH18" s="193">
        <v>21</v>
      </c>
      <c r="BI18" s="193">
        <v>22</v>
      </c>
      <c r="BJ18" s="193">
        <v>29</v>
      </c>
      <c r="BK18" s="193">
        <v>29</v>
      </c>
      <c r="BL18" s="193">
        <v>22</v>
      </c>
      <c r="BM18" s="193">
        <v>25</v>
      </c>
      <c r="BN18" s="193">
        <v>24</v>
      </c>
      <c r="BO18" s="193">
        <v>16</v>
      </c>
      <c r="BP18" s="193">
        <v>17</v>
      </c>
      <c r="BQ18" s="193">
        <v>12</v>
      </c>
      <c r="BR18" s="193">
        <v>11</v>
      </c>
      <c r="BS18" s="193">
        <v>14</v>
      </c>
      <c r="BT18" s="193">
        <v>17</v>
      </c>
      <c r="BU18" s="193">
        <v>10</v>
      </c>
      <c r="BV18" s="193">
        <v>16</v>
      </c>
      <c r="BW18" s="193">
        <v>13</v>
      </c>
      <c r="BX18" s="193">
        <v>13</v>
      </c>
      <c r="BY18" s="193">
        <v>21</v>
      </c>
      <c r="BZ18" s="193">
        <v>10</v>
      </c>
      <c r="CA18" s="193">
        <v>11</v>
      </c>
      <c r="CB18" s="193">
        <v>8</v>
      </c>
      <c r="CC18" s="193">
        <v>13</v>
      </c>
      <c r="CD18" s="193">
        <v>7</v>
      </c>
      <c r="CE18" s="193">
        <v>11</v>
      </c>
      <c r="CF18" s="193">
        <v>7</v>
      </c>
      <c r="CG18" s="193">
        <v>10</v>
      </c>
      <c r="CH18" s="193">
        <v>10</v>
      </c>
      <c r="CI18" s="193">
        <v>15</v>
      </c>
      <c r="CJ18" s="193">
        <v>19</v>
      </c>
      <c r="CK18" s="193">
        <v>17</v>
      </c>
      <c r="CL18" s="193">
        <v>15</v>
      </c>
      <c r="CM18" s="193">
        <v>11</v>
      </c>
      <c r="CN18" s="193">
        <v>16</v>
      </c>
      <c r="CO18" s="193">
        <v>8</v>
      </c>
      <c r="CP18" s="193">
        <v>6</v>
      </c>
      <c r="CQ18" s="193">
        <v>14</v>
      </c>
      <c r="CR18" s="193">
        <v>19</v>
      </c>
      <c r="CS18" s="193">
        <v>15</v>
      </c>
      <c r="CT18" s="193">
        <v>19</v>
      </c>
      <c r="CU18" s="193">
        <v>14</v>
      </c>
      <c r="CV18" s="193">
        <v>20</v>
      </c>
      <c r="CW18" s="193">
        <v>26</v>
      </c>
      <c r="CX18" s="193">
        <v>14</v>
      </c>
      <c r="CY18" s="193">
        <v>13</v>
      </c>
      <c r="CZ18" s="193">
        <v>10</v>
      </c>
      <c r="DA18" s="193">
        <v>15</v>
      </c>
      <c r="DB18" s="193">
        <v>18</v>
      </c>
      <c r="DC18" s="193">
        <v>15</v>
      </c>
      <c r="DD18" s="193">
        <v>18</v>
      </c>
      <c r="DE18" s="193">
        <v>17</v>
      </c>
      <c r="DF18" s="193">
        <v>16</v>
      </c>
      <c r="DG18" s="193">
        <v>19</v>
      </c>
      <c r="DH18" s="193">
        <v>23</v>
      </c>
      <c r="DI18" s="193">
        <v>17</v>
      </c>
      <c r="DJ18" s="193">
        <v>14</v>
      </c>
      <c r="DK18" s="193">
        <v>27</v>
      </c>
      <c r="DL18" s="193">
        <v>8</v>
      </c>
      <c r="DM18" s="193">
        <v>14</v>
      </c>
      <c r="DN18" s="193">
        <v>19</v>
      </c>
      <c r="DO18" s="193">
        <v>33</v>
      </c>
      <c r="DP18" s="193">
        <v>41</v>
      </c>
      <c r="DQ18" s="193">
        <v>51</v>
      </c>
      <c r="DR18" s="193">
        <v>34</v>
      </c>
      <c r="DS18" s="193">
        <v>43</v>
      </c>
      <c r="DT18" s="193">
        <v>42</v>
      </c>
      <c r="DU18" s="193">
        <v>43</v>
      </c>
      <c r="DV18" s="193">
        <v>44</v>
      </c>
      <c r="DW18" s="193">
        <v>39</v>
      </c>
      <c r="DX18" s="193">
        <v>31</v>
      </c>
      <c r="DY18" s="193">
        <v>35</v>
      </c>
      <c r="DZ18" s="193">
        <v>34</v>
      </c>
      <c r="EA18" s="193">
        <v>44</v>
      </c>
      <c r="EB18" s="193">
        <v>39</v>
      </c>
      <c r="EC18" s="193">
        <v>76</v>
      </c>
      <c r="ED18" s="193">
        <v>129</v>
      </c>
      <c r="EE18" s="193">
        <v>96</v>
      </c>
      <c r="EF18" s="193">
        <v>148</v>
      </c>
      <c r="EG18" s="193">
        <v>138</v>
      </c>
      <c r="EH18" s="193">
        <v>158</v>
      </c>
      <c r="EI18" s="193">
        <v>167</v>
      </c>
      <c r="EJ18" s="193">
        <v>140</v>
      </c>
      <c r="EK18" s="193">
        <v>184</v>
      </c>
      <c r="EL18" s="193">
        <v>142</v>
      </c>
      <c r="EM18" s="193">
        <v>190</v>
      </c>
      <c r="EN18" s="193">
        <v>173</v>
      </c>
      <c r="EO18" s="193">
        <v>140</v>
      </c>
      <c r="EP18" s="193">
        <v>255</v>
      </c>
      <c r="EQ18" s="193">
        <v>232</v>
      </c>
      <c r="ER18" s="193">
        <v>200</v>
      </c>
      <c r="ES18" s="193">
        <v>239</v>
      </c>
      <c r="ET18" s="193">
        <v>217</v>
      </c>
      <c r="EU18" s="193">
        <v>249</v>
      </c>
      <c r="EV18" s="254">
        <v>338</v>
      </c>
      <c r="EW18" s="254">
        <v>322</v>
      </c>
      <c r="EX18" s="254">
        <v>223</v>
      </c>
      <c r="EY18" s="254">
        <v>246</v>
      </c>
      <c r="EZ18" s="254">
        <v>261</v>
      </c>
      <c r="FA18" s="254">
        <v>204</v>
      </c>
      <c r="FB18" s="254">
        <v>252</v>
      </c>
      <c r="FC18" s="254">
        <v>258</v>
      </c>
      <c r="FD18" s="254">
        <v>304</v>
      </c>
      <c r="FE18" s="254">
        <v>243</v>
      </c>
      <c r="FF18" s="254">
        <v>326</v>
      </c>
      <c r="FG18" s="254">
        <v>276</v>
      </c>
      <c r="FH18" s="254">
        <v>253</v>
      </c>
      <c r="FI18" s="254">
        <v>230</v>
      </c>
      <c r="FJ18" s="254">
        <v>288</v>
      </c>
      <c r="FK18" s="254">
        <v>255</v>
      </c>
      <c r="FL18" s="254">
        <v>243</v>
      </c>
      <c r="FM18" s="254">
        <v>217</v>
      </c>
      <c r="FN18" s="254">
        <v>237</v>
      </c>
      <c r="FO18" s="254">
        <v>229</v>
      </c>
      <c r="FP18" s="254">
        <v>230</v>
      </c>
      <c r="FQ18" s="254">
        <v>205</v>
      </c>
      <c r="FR18" s="254">
        <v>179</v>
      </c>
      <c r="FS18" s="254">
        <v>216</v>
      </c>
    </row>
    <row r="19" spans="1:175" ht="15.75" x14ac:dyDescent="0.25">
      <c r="A19" s="215" t="s">
        <v>128</v>
      </c>
      <c r="B19" s="242" t="s">
        <v>122</v>
      </c>
      <c r="C19" s="219" t="s">
        <v>97</v>
      </c>
      <c r="D19" s="178"/>
      <c r="E19" s="190">
        <v>221</v>
      </c>
      <c r="F19" s="190">
        <v>292</v>
      </c>
      <c r="G19" s="190">
        <v>297</v>
      </c>
      <c r="H19" s="190">
        <v>228</v>
      </c>
      <c r="I19" s="190">
        <v>165</v>
      </c>
      <c r="J19" s="190">
        <v>203</v>
      </c>
      <c r="K19" s="190">
        <v>157</v>
      </c>
      <c r="L19" s="190">
        <v>212</v>
      </c>
      <c r="M19" s="190">
        <v>406</v>
      </c>
      <c r="N19" s="190">
        <v>197</v>
      </c>
      <c r="O19" s="190">
        <v>158</v>
      </c>
      <c r="P19" s="190">
        <v>189</v>
      </c>
      <c r="Q19" s="190">
        <v>250</v>
      </c>
      <c r="R19" s="190">
        <v>210</v>
      </c>
      <c r="S19" s="190">
        <v>238</v>
      </c>
      <c r="T19" s="190">
        <v>140</v>
      </c>
      <c r="U19" s="190">
        <v>149</v>
      </c>
      <c r="V19" s="190">
        <v>180</v>
      </c>
      <c r="W19" s="190">
        <v>169</v>
      </c>
      <c r="X19" s="190">
        <v>212</v>
      </c>
      <c r="Y19" s="190">
        <v>290</v>
      </c>
      <c r="Z19" s="190">
        <v>371</v>
      </c>
      <c r="AA19" s="190">
        <v>137</v>
      </c>
      <c r="AB19" s="190">
        <v>182</v>
      </c>
      <c r="AC19" s="190">
        <v>323</v>
      </c>
      <c r="AD19" s="190">
        <v>187</v>
      </c>
      <c r="AE19" s="190">
        <v>264</v>
      </c>
      <c r="AF19" s="190">
        <v>230</v>
      </c>
      <c r="AG19" s="190">
        <v>133</v>
      </c>
      <c r="AH19" s="190">
        <v>88</v>
      </c>
      <c r="AI19" s="191">
        <v>265</v>
      </c>
      <c r="AJ19" s="192">
        <v>98</v>
      </c>
      <c r="AK19" s="193">
        <v>205</v>
      </c>
      <c r="AL19" s="193">
        <v>95</v>
      </c>
      <c r="AM19" s="193">
        <v>122</v>
      </c>
      <c r="AN19" s="193">
        <v>68</v>
      </c>
      <c r="AO19" s="193">
        <v>42</v>
      </c>
      <c r="AP19" s="193">
        <v>82</v>
      </c>
      <c r="AQ19" s="193">
        <v>189</v>
      </c>
      <c r="AR19" s="193">
        <v>157</v>
      </c>
      <c r="AS19" s="193">
        <v>58</v>
      </c>
      <c r="AT19" s="193">
        <v>79</v>
      </c>
      <c r="AU19" s="193">
        <v>75</v>
      </c>
      <c r="AV19" s="193">
        <v>48</v>
      </c>
      <c r="AW19" s="193">
        <v>155</v>
      </c>
      <c r="AX19" s="193">
        <v>197</v>
      </c>
      <c r="AY19" s="193">
        <v>77</v>
      </c>
      <c r="AZ19" s="193">
        <v>169</v>
      </c>
      <c r="BA19" s="193">
        <v>239</v>
      </c>
      <c r="BB19" s="193">
        <v>217</v>
      </c>
      <c r="BC19" s="193">
        <v>207</v>
      </c>
      <c r="BD19" s="193">
        <v>178</v>
      </c>
      <c r="BE19" s="193">
        <v>88</v>
      </c>
      <c r="BF19" s="193">
        <v>94</v>
      </c>
      <c r="BG19" s="193">
        <v>185</v>
      </c>
      <c r="BH19" s="193">
        <v>297</v>
      </c>
      <c r="BI19" s="193">
        <v>246</v>
      </c>
      <c r="BJ19" s="193">
        <v>256</v>
      </c>
      <c r="BK19" s="193">
        <v>143</v>
      </c>
      <c r="BL19" s="193">
        <v>210</v>
      </c>
      <c r="BM19" s="193">
        <v>271</v>
      </c>
      <c r="BN19" s="193">
        <v>372</v>
      </c>
      <c r="BO19" s="193">
        <v>180</v>
      </c>
      <c r="BP19" s="193">
        <v>123</v>
      </c>
      <c r="BQ19" s="193">
        <v>138</v>
      </c>
      <c r="BR19" s="193">
        <v>135</v>
      </c>
      <c r="BS19" s="193">
        <v>308</v>
      </c>
      <c r="BT19" s="193">
        <v>313</v>
      </c>
      <c r="BU19" s="193">
        <v>262</v>
      </c>
      <c r="BV19" s="193">
        <v>302</v>
      </c>
      <c r="BW19" s="193">
        <v>214</v>
      </c>
      <c r="BX19" s="193">
        <v>286</v>
      </c>
      <c r="BY19" s="193">
        <v>258</v>
      </c>
      <c r="BZ19" s="193">
        <v>275</v>
      </c>
      <c r="CA19" s="193">
        <v>258</v>
      </c>
      <c r="CB19" s="193">
        <v>207</v>
      </c>
      <c r="CC19" s="193">
        <v>186</v>
      </c>
      <c r="CD19" s="193">
        <v>221</v>
      </c>
      <c r="CE19" s="193">
        <v>252</v>
      </c>
      <c r="CF19" s="193">
        <v>246</v>
      </c>
      <c r="CG19" s="193">
        <v>193</v>
      </c>
      <c r="CH19" s="193">
        <v>268</v>
      </c>
      <c r="CI19" s="193">
        <v>213</v>
      </c>
      <c r="CJ19" s="193">
        <v>235</v>
      </c>
      <c r="CK19" s="193">
        <v>212</v>
      </c>
      <c r="CL19" s="193">
        <v>268</v>
      </c>
      <c r="CM19" s="193">
        <v>233</v>
      </c>
      <c r="CN19" s="193">
        <v>218</v>
      </c>
      <c r="CO19" s="193">
        <v>204</v>
      </c>
      <c r="CP19" s="193">
        <v>184</v>
      </c>
      <c r="CQ19" s="193">
        <v>245</v>
      </c>
      <c r="CR19" s="193">
        <v>221</v>
      </c>
      <c r="CS19" s="193">
        <v>216</v>
      </c>
      <c r="CT19" s="193">
        <v>271</v>
      </c>
      <c r="CU19" s="193">
        <v>168</v>
      </c>
      <c r="CV19" s="193">
        <v>345</v>
      </c>
      <c r="CW19" s="193">
        <v>222</v>
      </c>
      <c r="CX19" s="193">
        <v>88</v>
      </c>
      <c r="CY19" s="193">
        <v>72</v>
      </c>
      <c r="CZ19" s="193">
        <v>84</v>
      </c>
      <c r="DA19" s="193">
        <v>76</v>
      </c>
      <c r="DB19" s="193">
        <v>114</v>
      </c>
      <c r="DC19" s="193">
        <v>153</v>
      </c>
      <c r="DD19" s="193">
        <v>139</v>
      </c>
      <c r="DE19" s="193">
        <v>126</v>
      </c>
      <c r="DF19" s="193">
        <v>134</v>
      </c>
      <c r="DG19" s="193">
        <v>123</v>
      </c>
      <c r="DH19" s="193">
        <v>126</v>
      </c>
      <c r="DI19" s="193">
        <v>110</v>
      </c>
      <c r="DJ19" s="193">
        <v>89</v>
      </c>
      <c r="DK19" s="193">
        <v>105</v>
      </c>
      <c r="DL19" s="193">
        <v>109</v>
      </c>
      <c r="DM19" s="193">
        <v>104</v>
      </c>
      <c r="DN19" s="193">
        <v>150</v>
      </c>
      <c r="DO19" s="193">
        <v>208</v>
      </c>
      <c r="DP19" s="193">
        <v>283</v>
      </c>
      <c r="DQ19" s="193">
        <v>242</v>
      </c>
      <c r="DR19" s="193">
        <v>230</v>
      </c>
      <c r="DS19" s="193">
        <v>206</v>
      </c>
      <c r="DT19" s="193">
        <v>216</v>
      </c>
      <c r="DU19" s="193">
        <v>158</v>
      </c>
      <c r="DV19" s="193">
        <v>200</v>
      </c>
      <c r="DW19" s="193">
        <v>214</v>
      </c>
      <c r="DX19" s="193">
        <v>176</v>
      </c>
      <c r="DY19" s="193">
        <v>207</v>
      </c>
      <c r="DZ19" s="193">
        <v>175</v>
      </c>
      <c r="EA19" s="193">
        <v>132</v>
      </c>
      <c r="EB19" s="193">
        <v>189</v>
      </c>
      <c r="EC19" s="193">
        <v>291</v>
      </c>
      <c r="ED19" s="193">
        <v>316</v>
      </c>
      <c r="EE19" s="193">
        <v>287</v>
      </c>
      <c r="EF19" s="193">
        <v>379</v>
      </c>
      <c r="EG19" s="193">
        <v>244</v>
      </c>
      <c r="EH19" s="193">
        <v>363</v>
      </c>
      <c r="EI19" s="193">
        <v>351</v>
      </c>
      <c r="EJ19" s="193">
        <v>327</v>
      </c>
      <c r="EK19" s="193">
        <v>364</v>
      </c>
      <c r="EL19" s="193">
        <v>340</v>
      </c>
      <c r="EM19" s="193">
        <v>321</v>
      </c>
      <c r="EN19" s="193">
        <v>361</v>
      </c>
      <c r="EO19" s="193">
        <v>274</v>
      </c>
      <c r="EP19" s="193">
        <v>372</v>
      </c>
      <c r="EQ19" s="193">
        <v>161</v>
      </c>
      <c r="ER19" s="193">
        <v>113</v>
      </c>
      <c r="ES19" s="193">
        <v>121</v>
      </c>
      <c r="ET19" s="193">
        <v>241</v>
      </c>
      <c r="EU19" s="193">
        <v>180</v>
      </c>
      <c r="EV19" s="254">
        <v>259</v>
      </c>
      <c r="EW19" s="254">
        <v>325</v>
      </c>
      <c r="EX19" s="254">
        <v>328</v>
      </c>
      <c r="EY19" s="254">
        <v>392</v>
      </c>
      <c r="EZ19" s="254">
        <v>336</v>
      </c>
      <c r="FA19" s="254">
        <v>262</v>
      </c>
      <c r="FB19" s="254">
        <v>289</v>
      </c>
      <c r="FC19" s="254">
        <v>315</v>
      </c>
      <c r="FD19" s="254">
        <v>286</v>
      </c>
      <c r="FE19" s="254">
        <v>316</v>
      </c>
      <c r="FF19" s="254">
        <v>319</v>
      </c>
      <c r="FG19" s="254">
        <v>143</v>
      </c>
      <c r="FH19" s="254">
        <v>384</v>
      </c>
      <c r="FI19" s="254">
        <v>400</v>
      </c>
      <c r="FJ19" s="254">
        <v>608</v>
      </c>
      <c r="FK19" s="254">
        <v>619</v>
      </c>
      <c r="FL19" s="254">
        <v>582</v>
      </c>
      <c r="FM19" s="254">
        <v>530</v>
      </c>
      <c r="FN19" s="254">
        <v>611</v>
      </c>
      <c r="FO19" s="254">
        <v>598</v>
      </c>
      <c r="FP19" s="254">
        <v>656</v>
      </c>
      <c r="FQ19" s="254">
        <v>578</v>
      </c>
      <c r="FR19" s="254">
        <v>599</v>
      </c>
      <c r="FS19" s="254">
        <v>523</v>
      </c>
    </row>
    <row r="20" spans="1:175" ht="15.75" x14ac:dyDescent="0.25">
      <c r="A20" s="172" t="s">
        <v>126</v>
      </c>
      <c r="B20" s="245" t="s">
        <v>123</v>
      </c>
      <c r="C20" s="246" t="s">
        <v>98</v>
      </c>
      <c r="D20" s="195"/>
      <c r="E20" s="196">
        <v>0.4107806691449814</v>
      </c>
      <c r="F20" s="196">
        <v>0.34032634032634035</v>
      </c>
      <c r="G20" s="196">
        <v>0.45</v>
      </c>
      <c r="H20" s="196">
        <v>0.34441087613293053</v>
      </c>
      <c r="I20" s="196">
        <v>0.22633744855967078</v>
      </c>
      <c r="J20" s="196">
        <v>0.33498349834983498</v>
      </c>
      <c r="K20" s="196">
        <v>0.23224852071005916</v>
      </c>
      <c r="L20" s="196">
        <v>0.28532974427994617</v>
      </c>
      <c r="M20" s="196">
        <v>0.57344632768361581</v>
      </c>
      <c r="N20" s="196">
        <v>0.27943262411347519</v>
      </c>
      <c r="O20" s="196">
        <v>0.24842767295597484</v>
      </c>
      <c r="P20" s="196">
        <v>0.30385852090032156</v>
      </c>
      <c r="Q20" s="196">
        <v>0.38167938931297712</v>
      </c>
      <c r="R20" s="196">
        <v>0.30973451327433627</v>
      </c>
      <c r="S20" s="196">
        <v>0.4033898305084746</v>
      </c>
      <c r="T20" s="196">
        <v>0.25362318840579712</v>
      </c>
      <c r="U20" s="196">
        <v>0.24149108589951376</v>
      </c>
      <c r="V20" s="196">
        <v>0.31746031746031744</v>
      </c>
      <c r="W20" s="196">
        <v>0.27750410509031198</v>
      </c>
      <c r="X20" s="196">
        <v>0.33176838810641629</v>
      </c>
      <c r="Y20" s="196">
        <v>0.46325878594249204</v>
      </c>
      <c r="Z20" s="196">
        <v>0.5145631067961165</v>
      </c>
      <c r="AA20" s="196">
        <v>0.22459016393442624</v>
      </c>
      <c r="AB20" s="196">
        <v>0.28043143297380585</v>
      </c>
      <c r="AC20" s="196">
        <v>0.49464012251148542</v>
      </c>
      <c r="AD20" s="196">
        <v>0.28858024691358025</v>
      </c>
      <c r="AE20" s="196">
        <v>0.4370860927152318</v>
      </c>
      <c r="AF20" s="196">
        <v>0.40209790209790208</v>
      </c>
      <c r="AG20" s="196">
        <v>0.26284584980237152</v>
      </c>
      <c r="AH20" s="196">
        <v>0.15331010452961671</v>
      </c>
      <c r="AI20" s="197">
        <v>0.38629737609329445</v>
      </c>
      <c r="AJ20" s="198">
        <v>0.55681818181818177</v>
      </c>
      <c r="AK20" s="199">
        <v>0.45964125560538116</v>
      </c>
      <c r="AL20" s="199">
        <v>0.19791666666666666</v>
      </c>
      <c r="AM20" s="199">
        <v>0.27539503386004516</v>
      </c>
      <c r="AN20" s="199">
        <v>0.15212527964205816</v>
      </c>
      <c r="AO20" s="199">
        <v>9.9526066350710901E-2</v>
      </c>
      <c r="AP20" s="199">
        <v>0.17903930131004367</v>
      </c>
      <c r="AQ20" s="199">
        <v>0.38181818181818183</v>
      </c>
      <c r="AR20" s="199">
        <v>0.3642691415313225</v>
      </c>
      <c r="AS20" s="199">
        <v>0.14427860696517414</v>
      </c>
      <c r="AT20" s="199">
        <v>0.16989247311827957</v>
      </c>
      <c r="AU20" s="199">
        <v>0.17045454545454544</v>
      </c>
      <c r="AV20" s="199">
        <v>0.10412147505422993</v>
      </c>
      <c r="AW20" s="199">
        <v>0.32978723404255317</v>
      </c>
      <c r="AX20" s="199">
        <v>0.37381404174573057</v>
      </c>
      <c r="AY20" s="199">
        <v>0.14864864864864866</v>
      </c>
      <c r="AZ20" s="199">
        <v>0.34419551934826886</v>
      </c>
      <c r="BA20" s="199">
        <v>0.50851063829787235</v>
      </c>
      <c r="BB20" s="199">
        <v>0.45302713987473903</v>
      </c>
      <c r="BC20" s="199">
        <v>0.42946058091286304</v>
      </c>
      <c r="BD20" s="199">
        <v>0.36701030927835049</v>
      </c>
      <c r="BE20" s="199">
        <v>0.19775280898876405</v>
      </c>
      <c r="BF20" s="199">
        <v>0.2</v>
      </c>
      <c r="BG20" s="199">
        <v>0.39112050739957716</v>
      </c>
      <c r="BH20" s="199">
        <v>0.580078125</v>
      </c>
      <c r="BI20" s="199">
        <v>0.53947368421052633</v>
      </c>
      <c r="BJ20" s="199">
        <v>0.45551601423487542</v>
      </c>
      <c r="BK20" s="199">
        <v>0.26679104477611942</v>
      </c>
      <c r="BL20" s="199">
        <v>0.39923954372623577</v>
      </c>
      <c r="BM20" s="199">
        <v>0.58279569892473115</v>
      </c>
      <c r="BN20" s="199">
        <v>0.68508287292817682</v>
      </c>
      <c r="BO20" s="199">
        <v>0.41958041958041958</v>
      </c>
      <c r="BP20" s="199">
        <v>0.28873239436619719</v>
      </c>
      <c r="BQ20" s="199">
        <v>0.30463576158940397</v>
      </c>
      <c r="BR20" s="199">
        <v>0.29157667386609071</v>
      </c>
      <c r="BS20" s="199">
        <v>0.65254237288135597</v>
      </c>
      <c r="BT20" s="199">
        <v>0.6089494163424124</v>
      </c>
      <c r="BU20" s="199">
        <v>0.61502347417840375</v>
      </c>
      <c r="BV20" s="199">
        <v>0.56133828996282531</v>
      </c>
      <c r="BW20" s="199">
        <v>0.50234741784037562</v>
      </c>
      <c r="BX20" s="199">
        <v>0.6875</v>
      </c>
      <c r="BY20" s="199">
        <v>0.57977528089887642</v>
      </c>
      <c r="BZ20" s="199">
        <v>0.53088803088803094</v>
      </c>
      <c r="CA20" s="199">
        <v>0.63390663390663393</v>
      </c>
      <c r="CB20" s="199">
        <v>0.56097560975609762</v>
      </c>
      <c r="CC20" s="199">
        <v>0.484375</v>
      </c>
      <c r="CD20" s="199">
        <v>0.65773809523809523</v>
      </c>
      <c r="CE20" s="199">
        <v>0.66141732283464572</v>
      </c>
      <c r="CF20" s="199">
        <v>0.6929577464788732</v>
      </c>
      <c r="CG20" s="199">
        <v>0.62662337662337664</v>
      </c>
      <c r="CH20" s="199">
        <v>0.64423076923076927</v>
      </c>
      <c r="CI20" s="199">
        <v>0.64156626506024095</v>
      </c>
      <c r="CJ20" s="199">
        <v>0.6811594202898551</v>
      </c>
      <c r="CK20" s="199">
        <v>0.68387096774193545</v>
      </c>
      <c r="CL20" s="199">
        <v>0.63961813842482096</v>
      </c>
      <c r="CM20" s="199">
        <v>0.66193181818181823</v>
      </c>
      <c r="CN20" s="199">
        <v>0.60724233983286913</v>
      </c>
      <c r="CO20" s="199">
        <v>0.57627118644067798</v>
      </c>
      <c r="CP20" s="199">
        <v>0.56615384615384612</v>
      </c>
      <c r="CQ20" s="199">
        <v>0.64814814814814814</v>
      </c>
      <c r="CR20" s="199">
        <v>0.58465608465608465</v>
      </c>
      <c r="CS20" s="199">
        <v>0.61189801699716717</v>
      </c>
      <c r="CT20" s="199">
        <v>0.6860759493670886</v>
      </c>
      <c r="CU20" s="199">
        <v>0.51219512195121952</v>
      </c>
      <c r="CV20" s="199">
        <v>0.70841889117043122</v>
      </c>
      <c r="CW20" s="199">
        <v>0.65486725663716816</v>
      </c>
      <c r="CX20" s="199">
        <v>0.6717557251908397</v>
      </c>
      <c r="CY20" s="199">
        <v>0.67924528301886788</v>
      </c>
      <c r="CZ20" s="199">
        <v>0.67200000000000004</v>
      </c>
      <c r="DA20" s="199">
        <v>0.59375</v>
      </c>
      <c r="DB20" s="199">
        <v>0.58762886597938147</v>
      </c>
      <c r="DC20" s="199">
        <v>0.65384615384615385</v>
      </c>
      <c r="DD20" s="199">
        <v>0.65876777251184837</v>
      </c>
      <c r="DE20" s="199">
        <v>0.64948453608247425</v>
      </c>
      <c r="DF20" s="199">
        <v>0.6767676767676768</v>
      </c>
      <c r="DG20" s="199">
        <v>0.6089108910891089</v>
      </c>
      <c r="DH20" s="199">
        <v>0.63316582914572861</v>
      </c>
      <c r="DI20" s="199">
        <v>0.70967741935483875</v>
      </c>
      <c r="DJ20" s="199">
        <v>0.64028776978417268</v>
      </c>
      <c r="DK20" s="199">
        <v>0.63636363636363635</v>
      </c>
      <c r="DL20" s="199">
        <v>0.57671957671957674</v>
      </c>
      <c r="DM20" s="199">
        <v>0.59090909090909094</v>
      </c>
      <c r="DN20" s="199">
        <v>0.60483870967741937</v>
      </c>
      <c r="DO20" s="199">
        <v>0.58263305322128855</v>
      </c>
      <c r="DP20" s="199">
        <v>0.58350515463917529</v>
      </c>
      <c r="DQ20" s="199">
        <v>0.56018518518518523</v>
      </c>
      <c r="DR20" s="199">
        <v>0.59125964010282772</v>
      </c>
      <c r="DS20" s="199">
        <v>0.60588235294117643</v>
      </c>
      <c r="DT20" s="199">
        <v>0.59340659340659341</v>
      </c>
      <c r="DU20" s="199">
        <v>0.5374149659863946</v>
      </c>
      <c r="DV20" s="199">
        <v>0.58823529411764708</v>
      </c>
      <c r="DW20" s="199">
        <v>0.56464379947229548</v>
      </c>
      <c r="DX20" s="199">
        <v>0.56230031948881787</v>
      </c>
      <c r="DY20" s="199">
        <v>0.54761904761904767</v>
      </c>
      <c r="DZ20" s="199">
        <v>0.49295774647887325</v>
      </c>
      <c r="EA20" s="199">
        <v>0.42996742671009774</v>
      </c>
      <c r="EB20" s="199">
        <v>0.55752212389380529</v>
      </c>
      <c r="EC20" s="199">
        <v>0.65393258426966294</v>
      </c>
      <c r="ED20" s="199">
        <v>0.63967611336032393</v>
      </c>
      <c r="EE20" s="199">
        <v>0.62255965292841653</v>
      </c>
      <c r="EF20" s="199">
        <v>0.64455782312925169</v>
      </c>
      <c r="EG20" s="199">
        <v>0.57957244655581952</v>
      </c>
      <c r="EH20" s="199">
        <v>0.65287769784172667</v>
      </c>
      <c r="EI20" s="199">
        <v>0.59795570698466782</v>
      </c>
      <c r="EJ20" s="199">
        <v>0.64243614931237725</v>
      </c>
      <c r="EK20" s="199">
        <v>0.58804523424878841</v>
      </c>
      <c r="EL20" s="199">
        <v>0.64393939393939392</v>
      </c>
      <c r="EM20" s="199">
        <v>0.55060034305317329</v>
      </c>
      <c r="EN20" s="199">
        <v>0.58603896103896103</v>
      </c>
      <c r="EO20" s="199">
        <v>0.52190476190476187</v>
      </c>
      <c r="EP20" s="199">
        <v>0.51882845188284521</v>
      </c>
      <c r="EQ20" s="199">
        <v>0.24210526315789474</v>
      </c>
      <c r="ER20" s="199">
        <v>0.19652173913043477</v>
      </c>
      <c r="ES20" s="199">
        <v>0.17690058479532164</v>
      </c>
      <c r="ET20" s="199">
        <v>0.34576757532281205</v>
      </c>
      <c r="EU20" s="199">
        <v>0.25787965616045844</v>
      </c>
      <c r="EV20" s="255">
        <v>0.29942196531791909</v>
      </c>
      <c r="EW20" s="255">
        <v>0.38690476190476192</v>
      </c>
      <c r="EX20" s="255">
        <v>0.46991404011461319</v>
      </c>
      <c r="EY20" s="255">
        <v>0.49557522123893805</v>
      </c>
      <c r="EZ20" s="255">
        <v>0.47863247863247865</v>
      </c>
      <c r="FA20" s="255">
        <v>0.46785714285714286</v>
      </c>
      <c r="FB20" s="255">
        <v>0.40992907801418438</v>
      </c>
      <c r="FC20" s="255">
        <v>0.45918367346938777</v>
      </c>
      <c r="FD20" s="255">
        <v>0.39231824417009603</v>
      </c>
      <c r="FE20" s="255">
        <v>0.46953937592867756</v>
      </c>
      <c r="FF20" s="255">
        <v>0.35093509350935093</v>
      </c>
      <c r="FG20" s="255">
        <v>0.17874999999999999</v>
      </c>
      <c r="FH20" s="255">
        <v>0.42666666666666669</v>
      </c>
      <c r="FI20" s="255">
        <v>0.50761421319796951</v>
      </c>
      <c r="FJ20" s="255">
        <v>0.66813186813186809</v>
      </c>
      <c r="FK20" s="255">
        <v>0.69785794813979707</v>
      </c>
      <c r="FL20" s="255">
        <v>0.782258064516129</v>
      </c>
      <c r="FM20" s="255">
        <v>0.75391180654338552</v>
      </c>
      <c r="FN20" s="255">
        <v>0.73525872442839957</v>
      </c>
      <c r="FO20" s="255">
        <v>0.80053547523427038</v>
      </c>
      <c r="FP20" s="255">
        <v>0.8159203980099502</v>
      </c>
      <c r="FQ20" s="255">
        <v>0.83405483405483405</v>
      </c>
      <c r="FR20" s="255">
        <v>0.82620689655172419</v>
      </c>
      <c r="FS20" s="255">
        <v>0.82492113564668768</v>
      </c>
    </row>
    <row r="21" spans="1:175" ht="15.75" x14ac:dyDescent="0.25">
      <c r="A21" s="215">
        <v>10</v>
      </c>
      <c r="B21" s="224" t="s">
        <v>99</v>
      </c>
      <c r="C21" s="221"/>
      <c r="D21" s="195"/>
      <c r="E21" s="190">
        <v>222</v>
      </c>
      <c r="F21" s="190">
        <v>297</v>
      </c>
      <c r="G21" s="190">
        <v>229</v>
      </c>
      <c r="H21" s="190">
        <v>241</v>
      </c>
      <c r="I21" s="190">
        <v>272</v>
      </c>
      <c r="J21" s="190">
        <v>216</v>
      </c>
      <c r="K21" s="190">
        <v>273</v>
      </c>
      <c r="L21" s="190">
        <v>243</v>
      </c>
      <c r="M21" s="190">
        <v>245</v>
      </c>
      <c r="N21" s="190">
        <v>320</v>
      </c>
      <c r="O21" s="190">
        <v>201</v>
      </c>
      <c r="P21" s="190">
        <v>269</v>
      </c>
      <c r="Q21" s="190">
        <v>257</v>
      </c>
      <c r="R21" s="190">
        <v>377</v>
      </c>
      <c r="S21" s="190">
        <v>197</v>
      </c>
      <c r="T21" s="190">
        <v>271</v>
      </c>
      <c r="U21" s="190">
        <v>240</v>
      </c>
      <c r="V21" s="190">
        <v>244</v>
      </c>
      <c r="W21" s="190">
        <v>211</v>
      </c>
      <c r="X21" s="190">
        <v>332</v>
      </c>
      <c r="Y21" s="190">
        <v>233</v>
      </c>
      <c r="Z21" s="190">
        <v>274</v>
      </c>
      <c r="AA21" s="190">
        <v>210</v>
      </c>
      <c r="AB21" s="190">
        <v>310</v>
      </c>
      <c r="AC21" s="190">
        <v>290</v>
      </c>
      <c r="AD21" s="190">
        <v>235</v>
      </c>
      <c r="AE21" s="190">
        <v>256</v>
      </c>
      <c r="AF21" s="190">
        <v>243</v>
      </c>
      <c r="AG21" s="190">
        <v>195</v>
      </c>
      <c r="AH21" s="190">
        <v>209</v>
      </c>
      <c r="AI21" s="191">
        <v>232</v>
      </c>
      <c r="AJ21" s="192">
        <v>52</v>
      </c>
      <c r="AK21" s="193">
        <v>163</v>
      </c>
      <c r="AL21" s="193">
        <v>223</v>
      </c>
      <c r="AM21" s="193">
        <v>218</v>
      </c>
      <c r="AN21" s="193">
        <v>186</v>
      </c>
      <c r="AO21" s="193">
        <v>246</v>
      </c>
      <c r="AP21" s="193">
        <v>234</v>
      </c>
      <c r="AQ21" s="193">
        <v>186</v>
      </c>
      <c r="AR21" s="193">
        <v>201</v>
      </c>
      <c r="AS21" s="193">
        <v>176</v>
      </c>
      <c r="AT21" s="193">
        <v>211</v>
      </c>
      <c r="AU21" s="193">
        <v>193</v>
      </c>
      <c r="AV21" s="193">
        <v>197</v>
      </c>
      <c r="AW21" s="193">
        <v>243</v>
      </c>
      <c r="AX21" s="193">
        <v>209</v>
      </c>
      <c r="AY21" s="193">
        <v>188</v>
      </c>
      <c r="AZ21" s="193">
        <v>165</v>
      </c>
      <c r="BA21" s="193">
        <v>184</v>
      </c>
      <c r="BB21" s="193">
        <v>181</v>
      </c>
      <c r="BC21" s="193">
        <v>173</v>
      </c>
      <c r="BD21" s="193">
        <v>155</v>
      </c>
      <c r="BE21" s="193">
        <v>245</v>
      </c>
      <c r="BF21" s="193">
        <v>278</v>
      </c>
      <c r="BG21" s="193">
        <v>206</v>
      </c>
      <c r="BH21" s="193">
        <v>171</v>
      </c>
      <c r="BI21" s="193">
        <v>187</v>
      </c>
      <c r="BJ21" s="193">
        <v>240</v>
      </c>
      <c r="BK21" s="193">
        <v>230</v>
      </c>
      <c r="BL21" s="193">
        <v>184</v>
      </c>
      <c r="BM21" s="193">
        <v>178</v>
      </c>
      <c r="BN21" s="193">
        <v>148</v>
      </c>
      <c r="BO21" s="193">
        <v>183</v>
      </c>
      <c r="BP21" s="193">
        <v>167</v>
      </c>
      <c r="BQ21" s="193">
        <v>138</v>
      </c>
      <c r="BR21" s="193">
        <v>177</v>
      </c>
      <c r="BS21" s="193">
        <v>155</v>
      </c>
      <c r="BT21" s="193">
        <v>148</v>
      </c>
      <c r="BU21" s="193">
        <v>132</v>
      </c>
      <c r="BV21" s="193">
        <v>181</v>
      </c>
      <c r="BW21" s="193">
        <v>140</v>
      </c>
      <c r="BX21" s="193">
        <v>142</v>
      </c>
      <c r="BY21" s="193">
        <v>171</v>
      </c>
      <c r="BZ21" s="193">
        <v>188</v>
      </c>
      <c r="CA21" s="193">
        <v>150</v>
      </c>
      <c r="CB21" s="193">
        <v>196</v>
      </c>
      <c r="CC21" s="193">
        <v>133</v>
      </c>
      <c r="CD21" s="193">
        <v>132</v>
      </c>
      <c r="CE21" s="193">
        <v>121</v>
      </c>
      <c r="CF21" s="193">
        <v>119</v>
      </c>
      <c r="CG21" s="193">
        <v>157</v>
      </c>
      <c r="CH21" s="193">
        <v>155</v>
      </c>
      <c r="CI21" s="193">
        <v>216</v>
      </c>
      <c r="CJ21" s="193">
        <v>322</v>
      </c>
      <c r="CK21" s="193">
        <v>187</v>
      </c>
      <c r="CL21" s="193">
        <v>208</v>
      </c>
      <c r="CM21" s="193">
        <v>139</v>
      </c>
      <c r="CN21" s="193">
        <v>202</v>
      </c>
      <c r="CO21" s="193">
        <v>157</v>
      </c>
      <c r="CP21" s="193">
        <v>142</v>
      </c>
      <c r="CQ21" s="193">
        <v>180</v>
      </c>
      <c r="CR21" s="193">
        <v>117</v>
      </c>
      <c r="CS21" s="193">
        <v>310</v>
      </c>
      <c r="CT21" s="193">
        <v>155</v>
      </c>
      <c r="CU21" s="193">
        <v>168</v>
      </c>
      <c r="CV21" s="193">
        <v>225</v>
      </c>
      <c r="CW21" s="193">
        <v>446</v>
      </c>
      <c r="CX21" s="193">
        <v>163</v>
      </c>
      <c r="CY21" s="193">
        <v>78</v>
      </c>
      <c r="CZ21" s="193">
        <v>76</v>
      </c>
      <c r="DA21" s="193">
        <v>74</v>
      </c>
      <c r="DB21" s="193">
        <v>111</v>
      </c>
      <c r="DC21" s="193">
        <v>118</v>
      </c>
      <c r="DD21" s="193">
        <v>113</v>
      </c>
      <c r="DE21" s="193">
        <v>98</v>
      </c>
      <c r="DF21" s="193">
        <v>142</v>
      </c>
      <c r="DG21" s="193">
        <v>119</v>
      </c>
      <c r="DH21" s="193">
        <v>115</v>
      </c>
      <c r="DI21" s="193">
        <v>121</v>
      </c>
      <c r="DJ21" s="193">
        <v>97</v>
      </c>
      <c r="DK21" s="193">
        <v>104</v>
      </c>
      <c r="DL21" s="193">
        <v>125</v>
      </c>
      <c r="DM21" s="193">
        <v>137</v>
      </c>
      <c r="DN21" s="193">
        <v>151</v>
      </c>
      <c r="DO21" s="193">
        <v>169</v>
      </c>
      <c r="DP21" s="193">
        <v>241</v>
      </c>
      <c r="DQ21" s="193">
        <v>197</v>
      </c>
      <c r="DR21" s="193">
        <v>222</v>
      </c>
      <c r="DS21" s="193">
        <v>170</v>
      </c>
      <c r="DT21" s="193">
        <v>163</v>
      </c>
      <c r="DU21" s="193">
        <v>161</v>
      </c>
      <c r="DV21" s="193">
        <v>181</v>
      </c>
      <c r="DW21" s="193">
        <v>177</v>
      </c>
      <c r="DX21" s="193">
        <v>153</v>
      </c>
      <c r="DY21" s="193">
        <v>165</v>
      </c>
      <c r="DZ21" s="193">
        <v>212</v>
      </c>
      <c r="EA21" s="193">
        <v>154</v>
      </c>
      <c r="EB21" s="193">
        <v>151</v>
      </c>
      <c r="EC21" s="193">
        <v>124</v>
      </c>
      <c r="ED21" s="193">
        <v>103</v>
      </c>
      <c r="EE21" s="193">
        <v>135</v>
      </c>
      <c r="EF21" s="193">
        <v>108</v>
      </c>
      <c r="EG21" s="193">
        <v>88</v>
      </c>
      <c r="EH21" s="193">
        <v>104</v>
      </c>
      <c r="EI21" s="193">
        <v>99</v>
      </c>
      <c r="EJ21" s="193">
        <v>83</v>
      </c>
      <c r="EK21" s="193">
        <v>90</v>
      </c>
      <c r="EL21" s="193">
        <v>89</v>
      </c>
      <c r="EM21" s="193">
        <v>92</v>
      </c>
      <c r="EN21" s="193">
        <v>101</v>
      </c>
      <c r="EO21" s="193">
        <v>83</v>
      </c>
      <c r="EP21" s="193">
        <v>108</v>
      </c>
      <c r="EQ21" s="193">
        <v>98</v>
      </c>
      <c r="ER21" s="193">
        <v>95</v>
      </c>
      <c r="ES21" s="193">
        <v>105</v>
      </c>
      <c r="ET21" s="193">
        <v>115</v>
      </c>
      <c r="EU21" s="193">
        <v>112</v>
      </c>
      <c r="EV21" s="254">
        <v>96</v>
      </c>
      <c r="EW21" s="254">
        <v>111</v>
      </c>
      <c r="EX21" s="254">
        <v>122</v>
      </c>
      <c r="EY21" s="254">
        <v>147</v>
      </c>
      <c r="EZ21" s="254">
        <v>117</v>
      </c>
      <c r="FA21" s="254">
        <v>96</v>
      </c>
      <c r="FB21" s="254">
        <v>118</v>
      </c>
      <c r="FC21" s="254">
        <v>107</v>
      </c>
      <c r="FD21" s="254">
        <v>145</v>
      </c>
      <c r="FE21" s="254">
        <v>122</v>
      </c>
      <c r="FF21" s="254">
        <v>101</v>
      </c>
      <c r="FG21" s="254">
        <v>108</v>
      </c>
      <c r="FH21" s="254">
        <v>137</v>
      </c>
      <c r="FI21" s="254">
        <v>105</v>
      </c>
      <c r="FJ21" s="254">
        <v>124</v>
      </c>
      <c r="FK21" s="254">
        <v>140</v>
      </c>
      <c r="FL21" s="254">
        <v>176</v>
      </c>
      <c r="FM21" s="254">
        <v>138</v>
      </c>
      <c r="FN21" s="254">
        <v>108</v>
      </c>
      <c r="FO21" s="254">
        <v>106</v>
      </c>
      <c r="FP21" s="254">
        <v>99</v>
      </c>
      <c r="FQ21" s="254">
        <v>97</v>
      </c>
      <c r="FR21" s="254">
        <v>108</v>
      </c>
      <c r="FS21" s="254">
        <v>88</v>
      </c>
    </row>
    <row r="22" spans="1:175" ht="16.5" thickBot="1" x14ac:dyDescent="0.3">
      <c r="A22" s="215">
        <v>11</v>
      </c>
      <c r="B22" s="225" t="s">
        <v>100</v>
      </c>
      <c r="C22" s="209"/>
      <c r="D22" s="200"/>
      <c r="E22" s="201" t="s">
        <v>94</v>
      </c>
      <c r="F22" s="201" t="s">
        <v>94</v>
      </c>
      <c r="G22" s="201" t="s">
        <v>94</v>
      </c>
      <c r="H22" s="201" t="s">
        <v>94</v>
      </c>
      <c r="I22" s="201" t="s">
        <v>94</v>
      </c>
      <c r="J22" s="201" t="s">
        <v>94</v>
      </c>
      <c r="K22" s="201" t="s">
        <v>94</v>
      </c>
      <c r="L22" s="201" t="s">
        <v>94</v>
      </c>
      <c r="M22" s="201" t="s">
        <v>94</v>
      </c>
      <c r="N22" s="201" t="s">
        <v>94</v>
      </c>
      <c r="O22" s="201" t="s">
        <v>94</v>
      </c>
      <c r="P22" s="201" t="s">
        <v>94</v>
      </c>
      <c r="Q22" s="201" t="s">
        <v>94</v>
      </c>
      <c r="R22" s="201" t="s">
        <v>94</v>
      </c>
      <c r="S22" s="201" t="s">
        <v>94</v>
      </c>
      <c r="T22" s="201" t="s">
        <v>94</v>
      </c>
      <c r="U22" s="201" t="s">
        <v>94</v>
      </c>
      <c r="V22" s="201" t="s">
        <v>94</v>
      </c>
      <c r="W22" s="201" t="s">
        <v>94</v>
      </c>
      <c r="X22" s="201" t="s">
        <v>94</v>
      </c>
      <c r="Y22" s="201" t="s">
        <v>94</v>
      </c>
      <c r="Z22" s="201" t="s">
        <v>94</v>
      </c>
      <c r="AA22" s="201" t="s">
        <v>94</v>
      </c>
      <c r="AB22" s="201" t="s">
        <v>94</v>
      </c>
      <c r="AC22" s="201" t="s">
        <v>94</v>
      </c>
      <c r="AD22" s="201" t="s">
        <v>94</v>
      </c>
      <c r="AE22" s="201" t="s">
        <v>94</v>
      </c>
      <c r="AF22" s="201" t="s">
        <v>94</v>
      </c>
      <c r="AG22" s="201" t="s">
        <v>94</v>
      </c>
      <c r="AH22" s="201" t="s">
        <v>94</v>
      </c>
      <c r="AI22" s="202" t="s">
        <v>94</v>
      </c>
      <c r="AJ22" s="203">
        <v>317</v>
      </c>
      <c r="AK22" s="201">
        <v>440</v>
      </c>
      <c r="AL22" s="201">
        <v>500</v>
      </c>
      <c r="AM22" s="201">
        <v>514</v>
      </c>
      <c r="AN22" s="201">
        <v>580</v>
      </c>
      <c r="AO22" s="204">
        <v>570</v>
      </c>
      <c r="AP22" s="204">
        <v>532</v>
      </c>
      <c r="AQ22" s="204">
        <v>509</v>
      </c>
      <c r="AR22" s="204">
        <v>539</v>
      </c>
      <c r="AS22" s="204">
        <v>629</v>
      </c>
      <c r="AT22" s="204">
        <v>662</v>
      </c>
      <c r="AU22" s="204">
        <v>663</v>
      </c>
      <c r="AV22" s="204">
        <v>728</v>
      </c>
      <c r="AW22" s="204">
        <v>648</v>
      </c>
      <c r="AX22" s="204">
        <v>709</v>
      </c>
      <c r="AY22" s="204">
        <v>694</v>
      </c>
      <c r="AZ22" s="204">
        <v>654</v>
      </c>
      <c r="BA22" s="204">
        <v>672</v>
      </c>
      <c r="BB22" s="204">
        <v>689</v>
      </c>
      <c r="BC22" s="204">
        <v>743</v>
      </c>
      <c r="BD22" s="204">
        <v>738</v>
      </c>
      <c r="BE22" s="204">
        <v>782</v>
      </c>
      <c r="BF22" s="204">
        <v>663</v>
      </c>
      <c r="BG22" s="204">
        <v>639</v>
      </c>
      <c r="BH22" s="204">
        <v>670</v>
      </c>
      <c r="BI22" s="204">
        <v>716</v>
      </c>
      <c r="BJ22" s="204">
        <v>748</v>
      </c>
      <c r="BK22" s="204">
        <v>670</v>
      </c>
      <c r="BL22" s="204">
        <v>619</v>
      </c>
      <c r="BM22" s="204">
        <v>575</v>
      </c>
      <c r="BN22" s="204">
        <v>606</v>
      </c>
      <c r="BO22" s="204">
        <v>672</v>
      </c>
      <c r="BP22" s="204">
        <v>683</v>
      </c>
      <c r="BQ22" s="204">
        <v>725</v>
      </c>
      <c r="BR22" s="204">
        <v>677</v>
      </c>
      <c r="BS22" s="204">
        <v>696</v>
      </c>
      <c r="BT22" s="204">
        <v>709</v>
      </c>
      <c r="BU22" s="204">
        <v>703</v>
      </c>
      <c r="BV22" s="204">
        <v>750</v>
      </c>
      <c r="BW22" s="204">
        <v>726</v>
      </c>
      <c r="BX22" s="204">
        <v>735</v>
      </c>
      <c r="BY22" s="204">
        <v>795</v>
      </c>
      <c r="BZ22" s="204">
        <v>721</v>
      </c>
      <c r="CA22" s="204">
        <v>715</v>
      </c>
      <c r="CB22" s="204">
        <v>728</v>
      </c>
      <c r="CC22" s="204">
        <v>693</v>
      </c>
      <c r="CD22" s="204">
        <v>674</v>
      </c>
      <c r="CE22" s="204">
        <v>712</v>
      </c>
      <c r="CF22" s="204">
        <v>764</v>
      </c>
      <c r="CG22" s="204">
        <v>717</v>
      </c>
      <c r="CH22" s="204">
        <v>746</v>
      </c>
      <c r="CI22" s="204">
        <v>700</v>
      </c>
      <c r="CJ22" s="204">
        <v>519</v>
      </c>
      <c r="CK22" s="204">
        <v>553</v>
      </c>
      <c r="CL22" s="204">
        <v>506</v>
      </c>
      <c r="CM22" s="204">
        <v>497</v>
      </c>
      <c r="CN22" s="204">
        <v>503</v>
      </c>
      <c r="CO22" s="204">
        <v>501</v>
      </c>
      <c r="CP22" s="204">
        <v>523</v>
      </c>
      <c r="CQ22" s="204">
        <v>484</v>
      </c>
      <c r="CR22" s="204">
        <v>550</v>
      </c>
      <c r="CS22" s="204">
        <v>361</v>
      </c>
      <c r="CT22" s="204">
        <v>404</v>
      </c>
      <c r="CU22" s="204">
        <v>432</v>
      </c>
      <c r="CV22" s="204">
        <v>559</v>
      </c>
      <c r="CW22" s="204">
        <v>193</v>
      </c>
      <c r="CX22" s="204">
        <v>103</v>
      </c>
      <c r="CY22" s="204">
        <v>104</v>
      </c>
      <c r="CZ22" s="204">
        <v>123</v>
      </c>
      <c r="DA22" s="204">
        <v>156</v>
      </c>
      <c r="DB22" s="204">
        <v>201</v>
      </c>
      <c r="DC22" s="204">
        <v>213</v>
      </c>
      <c r="DD22" s="204">
        <v>204</v>
      </c>
      <c r="DE22" s="204">
        <v>217</v>
      </c>
      <c r="DF22" s="204">
        <v>232</v>
      </c>
      <c r="DG22" s="204">
        <v>223</v>
      </c>
      <c r="DH22" s="204">
        <v>221</v>
      </c>
      <c r="DI22" s="204">
        <v>218</v>
      </c>
      <c r="DJ22" s="204">
        <v>257</v>
      </c>
      <c r="DK22" s="204">
        <v>272</v>
      </c>
      <c r="DL22" s="204">
        <v>272</v>
      </c>
      <c r="DM22" s="204">
        <v>309</v>
      </c>
      <c r="DN22" s="204">
        <v>334</v>
      </c>
      <c r="DO22" s="204">
        <v>400</v>
      </c>
      <c r="DP22" s="204">
        <v>440</v>
      </c>
      <c r="DQ22" s="204">
        <v>385</v>
      </c>
      <c r="DR22" s="204">
        <v>402</v>
      </c>
      <c r="DS22" s="204">
        <v>369</v>
      </c>
      <c r="DT22" s="204">
        <v>402</v>
      </c>
      <c r="DU22" s="204">
        <v>443</v>
      </c>
      <c r="DV22" s="204">
        <v>447</v>
      </c>
      <c r="DW22" s="204">
        <v>401</v>
      </c>
      <c r="DX22" s="204">
        <v>450</v>
      </c>
      <c r="DY22" s="204">
        <v>469</v>
      </c>
      <c r="DZ22" s="204">
        <v>455</v>
      </c>
      <c r="EA22" s="204">
        <v>448</v>
      </c>
      <c r="EB22" s="204">
        <v>487</v>
      </c>
      <c r="EC22" s="204">
        <v>443</v>
      </c>
      <c r="ED22" s="204">
        <v>529</v>
      </c>
      <c r="EE22" s="204">
        <v>488</v>
      </c>
      <c r="EF22" s="204">
        <v>470</v>
      </c>
      <c r="EG22" s="204">
        <v>457</v>
      </c>
      <c r="EH22" s="204">
        <v>521</v>
      </c>
      <c r="EI22" s="204">
        <v>463</v>
      </c>
      <c r="EJ22" s="204">
        <v>490</v>
      </c>
      <c r="EK22" s="204">
        <v>465</v>
      </c>
      <c r="EL22" s="204">
        <v>529</v>
      </c>
      <c r="EM22" s="204">
        <v>572</v>
      </c>
      <c r="EN22" s="204">
        <v>595</v>
      </c>
      <c r="EO22" s="204">
        <v>611</v>
      </c>
      <c r="EP22" s="204">
        <v>710</v>
      </c>
      <c r="EQ22" s="204">
        <v>694</v>
      </c>
      <c r="ER22" s="204">
        <v>728</v>
      </c>
      <c r="ES22" s="204">
        <v>752</v>
      </c>
      <c r="ET22" s="204">
        <v>717</v>
      </c>
      <c r="EU22" s="204">
        <v>888</v>
      </c>
      <c r="EV22" s="256">
        <v>728</v>
      </c>
      <c r="EW22" s="256">
        <v>763</v>
      </c>
      <c r="EX22" s="256">
        <v>750</v>
      </c>
      <c r="EY22" s="256">
        <v>747</v>
      </c>
      <c r="EZ22" s="256">
        <v>712</v>
      </c>
      <c r="FA22" s="256">
        <v>715</v>
      </c>
      <c r="FB22" s="256">
        <v>745</v>
      </c>
      <c r="FC22" s="256">
        <v>792</v>
      </c>
      <c r="FD22" s="256">
        <v>728</v>
      </c>
      <c r="FE22" s="256">
        <v>860</v>
      </c>
      <c r="FF22" s="256">
        <v>800</v>
      </c>
      <c r="FG22" s="256">
        <v>715</v>
      </c>
      <c r="FH22" s="256">
        <v>644</v>
      </c>
      <c r="FI22" s="256">
        <v>730</v>
      </c>
      <c r="FJ22" s="256">
        <v>634</v>
      </c>
      <c r="FK22" s="256">
        <v>570</v>
      </c>
      <c r="FL22" s="256">
        <v>501</v>
      </c>
      <c r="FM22" s="256">
        <v>503</v>
      </c>
      <c r="FN22" s="256">
        <v>465</v>
      </c>
      <c r="FO22" s="256">
        <v>435</v>
      </c>
      <c r="FP22" s="256">
        <v>398</v>
      </c>
      <c r="FQ22" s="256">
        <v>420</v>
      </c>
      <c r="FR22" s="256">
        <v>396</v>
      </c>
      <c r="FS22" s="256">
        <v>391</v>
      </c>
    </row>
    <row r="23" spans="1:175" ht="15.75" x14ac:dyDescent="0.25">
      <c r="A23" s="216"/>
      <c r="B23" s="181" t="s">
        <v>106</v>
      </c>
      <c r="C23" s="214"/>
      <c r="D23" s="182"/>
      <c r="E23" s="205"/>
      <c r="F23" s="205"/>
      <c r="G23" s="205"/>
      <c r="H23" s="205"/>
      <c r="I23" s="205"/>
      <c r="J23" s="205"/>
      <c r="K23" s="205"/>
      <c r="L23" s="205"/>
      <c r="M23" s="205"/>
      <c r="N23" s="205"/>
      <c r="O23" s="205"/>
      <c r="P23" s="205"/>
      <c r="Q23" s="205"/>
      <c r="R23" s="205"/>
      <c r="S23" s="205"/>
      <c r="T23" s="205"/>
      <c r="U23" s="205"/>
      <c r="V23" s="205"/>
      <c r="W23" s="205"/>
      <c r="X23" s="205"/>
      <c r="Y23" s="205"/>
      <c r="Z23" s="205"/>
      <c r="AA23" s="205"/>
      <c r="AB23" s="205"/>
      <c r="AC23" s="205"/>
      <c r="AD23" s="205"/>
      <c r="AE23" s="205"/>
      <c r="AF23" s="205"/>
      <c r="AG23" s="205"/>
      <c r="AH23" s="205"/>
      <c r="AI23" s="206"/>
      <c r="AJ23" s="207"/>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c r="CY23" s="208"/>
      <c r="CZ23" s="208"/>
      <c r="DA23" s="208"/>
      <c r="DB23" s="208"/>
      <c r="DC23" s="208"/>
      <c r="DD23" s="208"/>
      <c r="DE23" s="208"/>
      <c r="DF23" s="208"/>
      <c r="DG23" s="208"/>
      <c r="DH23" s="208"/>
      <c r="DI23" s="208"/>
      <c r="DJ23" s="208"/>
      <c r="DK23" s="208"/>
      <c r="DL23" s="208"/>
      <c r="DM23" s="208"/>
      <c r="DN23" s="208"/>
      <c r="DO23" s="208"/>
      <c r="DP23" s="208"/>
      <c r="DQ23" s="208"/>
      <c r="DR23" s="208"/>
      <c r="DS23" s="208"/>
      <c r="DT23" s="208"/>
      <c r="DU23" s="208"/>
      <c r="DV23" s="208"/>
      <c r="DW23" s="208"/>
      <c r="DX23" s="208"/>
      <c r="DY23" s="208"/>
      <c r="DZ23" s="208"/>
      <c r="EA23" s="208"/>
      <c r="EB23" s="208"/>
      <c r="EC23" s="208"/>
      <c r="ED23" s="208"/>
      <c r="EE23" s="208"/>
      <c r="EF23" s="208"/>
      <c r="EG23" s="208"/>
      <c r="EH23" s="208"/>
      <c r="EI23" s="208"/>
      <c r="EJ23" s="208"/>
      <c r="EK23" s="208"/>
      <c r="EL23" s="208"/>
      <c r="EM23" s="208"/>
      <c r="EN23" s="208"/>
      <c r="EO23" s="208"/>
      <c r="EP23" s="208"/>
      <c r="EQ23" s="208"/>
      <c r="ER23" s="208"/>
      <c r="ES23" s="208"/>
      <c r="ET23" s="208"/>
      <c r="EU23" s="208"/>
      <c r="EV23" s="257"/>
      <c r="EW23" s="257"/>
      <c r="EX23" s="257"/>
      <c r="EY23" s="257"/>
      <c r="EZ23" s="257"/>
      <c r="FA23" s="257"/>
      <c r="FB23" s="257"/>
      <c r="FC23" s="257"/>
      <c r="FD23" s="257"/>
      <c r="FE23" s="257"/>
      <c r="FF23" s="257"/>
      <c r="FG23" s="257"/>
      <c r="FH23" s="257"/>
      <c r="FI23" s="257"/>
      <c r="FJ23" s="257"/>
      <c r="FK23" s="257"/>
      <c r="FL23" s="257"/>
      <c r="FM23" s="257"/>
      <c r="FN23" s="257"/>
      <c r="FO23" s="257"/>
      <c r="FP23" s="257"/>
      <c r="FQ23" s="257"/>
      <c r="FR23" s="257"/>
      <c r="FS23" s="257"/>
    </row>
    <row r="24" spans="1:175" ht="15.75" x14ac:dyDescent="0.25">
      <c r="A24" s="215">
        <v>12</v>
      </c>
      <c r="B24" s="175" t="s">
        <v>107</v>
      </c>
      <c r="C24" s="177" t="s">
        <v>113</v>
      </c>
      <c r="D24" s="178" t="s">
        <v>108</v>
      </c>
      <c r="E24" s="190">
        <v>8718</v>
      </c>
      <c r="F24" s="190">
        <v>8851</v>
      </c>
      <c r="G24" s="190">
        <v>8742</v>
      </c>
      <c r="H24" s="190">
        <v>8675</v>
      </c>
      <c r="I24" s="190">
        <v>8721</v>
      </c>
      <c r="J24" s="190">
        <v>8567</v>
      </c>
      <c r="K24" s="190">
        <v>8330</v>
      </c>
      <c r="L24" s="190">
        <v>8350</v>
      </c>
      <c r="M24" s="190">
        <v>8463</v>
      </c>
      <c r="N24" s="190">
        <v>8576</v>
      </c>
      <c r="O24" s="190">
        <v>8563</v>
      </c>
      <c r="P24" s="190">
        <v>8516</v>
      </c>
      <c r="Q24" s="190">
        <v>8533</v>
      </c>
      <c r="R24" s="190">
        <v>8659</v>
      </c>
      <c r="S24" s="190">
        <v>8599</v>
      </c>
      <c r="T24" s="190">
        <v>8480</v>
      </c>
      <c r="U24" s="190">
        <v>8473</v>
      </c>
      <c r="V24" s="190">
        <v>8352</v>
      </c>
      <c r="W24" s="190">
        <v>8176</v>
      </c>
      <c r="X24" s="190">
        <v>8205</v>
      </c>
      <c r="Y24" s="190">
        <v>8143</v>
      </c>
      <c r="Z24" s="190">
        <v>8318</v>
      </c>
      <c r="AA24" s="190">
        <v>8379</v>
      </c>
      <c r="AB24" s="190">
        <v>8417</v>
      </c>
      <c r="AC24" s="190">
        <v>8550</v>
      </c>
      <c r="AD24" s="190">
        <v>8620</v>
      </c>
      <c r="AE24" s="190">
        <v>8543</v>
      </c>
      <c r="AF24" s="190">
        <v>8457</v>
      </c>
      <c r="AG24" s="190">
        <v>8335</v>
      </c>
      <c r="AH24" s="190">
        <v>8226</v>
      </c>
      <c r="AI24" s="191">
        <v>8084</v>
      </c>
      <c r="AJ24" s="192">
        <v>7981</v>
      </c>
      <c r="AK24" s="190">
        <v>8022</v>
      </c>
      <c r="AL24" s="190">
        <v>8257</v>
      </c>
      <c r="AM24" s="190">
        <v>8270</v>
      </c>
      <c r="AN24" s="190">
        <v>8391</v>
      </c>
      <c r="AO24" s="190">
        <v>8460</v>
      </c>
      <c r="AP24" s="190">
        <v>8579</v>
      </c>
      <c r="AQ24" s="190">
        <v>8548</v>
      </c>
      <c r="AR24" s="190">
        <v>8536</v>
      </c>
      <c r="AS24" s="190">
        <v>8559</v>
      </c>
      <c r="AT24" s="190">
        <v>8399</v>
      </c>
      <c r="AU24" s="190">
        <v>8394</v>
      </c>
      <c r="AV24" s="190">
        <v>8382</v>
      </c>
      <c r="AW24" s="190">
        <v>8310</v>
      </c>
      <c r="AX24" s="190">
        <v>8495</v>
      </c>
      <c r="AY24" s="190">
        <v>8540</v>
      </c>
      <c r="AZ24" s="190">
        <v>8667</v>
      </c>
      <c r="BA24" s="190">
        <v>8640</v>
      </c>
      <c r="BB24" s="190">
        <v>8665</v>
      </c>
      <c r="BC24" s="190">
        <v>8732</v>
      </c>
      <c r="BD24" s="190">
        <v>8755</v>
      </c>
      <c r="BE24" s="190">
        <v>8620</v>
      </c>
      <c r="BF24" s="190">
        <v>8690</v>
      </c>
      <c r="BG24" s="190">
        <v>8602</v>
      </c>
      <c r="BH24" s="190">
        <v>8616</v>
      </c>
      <c r="BI24" s="190">
        <v>8693</v>
      </c>
      <c r="BJ24" s="190">
        <v>8761</v>
      </c>
      <c r="BK24" s="190">
        <v>8891</v>
      </c>
      <c r="BL24" s="190">
        <v>9055</v>
      </c>
      <c r="BM24" s="190">
        <v>9092</v>
      </c>
      <c r="BN24" s="190">
        <v>9183</v>
      </c>
      <c r="BO24" s="190">
        <v>9171</v>
      </c>
      <c r="BP24" s="190">
        <v>9148</v>
      </c>
      <c r="BQ24" s="190">
        <v>9209</v>
      </c>
      <c r="BR24" s="190">
        <v>9164</v>
      </c>
      <c r="BS24" s="190">
        <v>9089</v>
      </c>
      <c r="BT24" s="190">
        <v>9154</v>
      </c>
      <c r="BU24" s="190">
        <v>9186</v>
      </c>
      <c r="BV24" s="190">
        <v>9239</v>
      </c>
      <c r="BW24" s="190">
        <v>9329</v>
      </c>
      <c r="BX24" s="190">
        <v>9230</v>
      </c>
      <c r="BY24" s="190">
        <v>9242</v>
      </c>
      <c r="BZ24" s="190">
        <v>9341</v>
      </c>
      <c r="CA24" s="190">
        <v>9372</v>
      </c>
      <c r="CB24" s="190">
        <v>9293</v>
      </c>
      <c r="CC24" s="190">
        <v>9395</v>
      </c>
      <c r="CD24" s="190">
        <v>9242</v>
      </c>
      <c r="CE24" s="190">
        <v>9052</v>
      </c>
      <c r="CF24" s="190">
        <v>9128</v>
      </c>
      <c r="CG24" s="190">
        <v>9079</v>
      </c>
      <c r="CH24" s="190">
        <v>9137</v>
      </c>
      <c r="CI24" s="190">
        <v>9173</v>
      </c>
      <c r="CJ24" s="190">
        <v>9063</v>
      </c>
      <c r="CK24" s="190">
        <v>9133</v>
      </c>
      <c r="CL24" s="190">
        <v>9255</v>
      </c>
      <c r="CM24" s="190">
        <v>9243</v>
      </c>
      <c r="CN24" s="190">
        <v>9157</v>
      </c>
      <c r="CO24" s="190">
        <v>9232</v>
      </c>
      <c r="CP24" s="190">
        <v>9088</v>
      </c>
      <c r="CQ24" s="190">
        <v>9006</v>
      </c>
      <c r="CR24" s="190">
        <v>9081</v>
      </c>
      <c r="CS24" s="190">
        <v>9094</v>
      </c>
      <c r="CT24" s="190">
        <v>9340</v>
      </c>
      <c r="CU24" s="190">
        <v>9335</v>
      </c>
      <c r="CV24" s="190">
        <v>9457</v>
      </c>
      <c r="CW24" s="190">
        <v>9786</v>
      </c>
      <c r="CX24" s="190">
        <v>9281</v>
      </c>
      <c r="CY24" s="190">
        <v>8914</v>
      </c>
      <c r="CZ24" s="190">
        <v>8765</v>
      </c>
      <c r="DA24" s="190">
        <v>8520</v>
      </c>
      <c r="DB24" s="190">
        <v>8215</v>
      </c>
      <c r="DC24" s="190">
        <v>8243</v>
      </c>
      <c r="DD24" s="190">
        <v>8148</v>
      </c>
      <c r="DE24" s="190">
        <v>7990</v>
      </c>
      <c r="DF24" s="190">
        <v>7996</v>
      </c>
      <c r="DG24" s="190">
        <v>7803</v>
      </c>
      <c r="DH24" s="190">
        <v>7815</v>
      </c>
      <c r="DI24" s="190">
        <v>7588</v>
      </c>
      <c r="DJ24" s="190">
        <v>7466</v>
      </c>
      <c r="DK24" s="190">
        <v>7302</v>
      </c>
      <c r="DL24" s="190">
        <v>7239</v>
      </c>
      <c r="DM24" s="190">
        <v>7224</v>
      </c>
      <c r="DN24" s="190">
        <v>7073</v>
      </c>
      <c r="DO24" s="190">
        <v>7192</v>
      </c>
      <c r="DP24" s="190">
        <v>7369</v>
      </c>
      <c r="DQ24" s="190">
        <v>7623</v>
      </c>
      <c r="DR24" s="190">
        <v>7760</v>
      </c>
      <c r="DS24" s="190">
        <v>7758</v>
      </c>
      <c r="DT24" s="190">
        <v>7951</v>
      </c>
      <c r="DU24" s="190">
        <v>7894</v>
      </c>
      <c r="DV24" s="190">
        <v>7898</v>
      </c>
      <c r="DW24" s="190">
        <v>7985</v>
      </c>
      <c r="DX24" s="190">
        <v>7981</v>
      </c>
      <c r="DY24" s="190">
        <v>7961</v>
      </c>
      <c r="DZ24" s="190">
        <v>8028</v>
      </c>
      <c r="EA24" s="190">
        <v>7908</v>
      </c>
      <c r="EB24" s="190">
        <v>7897</v>
      </c>
      <c r="EC24" s="190">
        <v>8001</v>
      </c>
      <c r="ED24" s="190">
        <v>8126</v>
      </c>
      <c r="EE24" s="190">
        <v>8133</v>
      </c>
      <c r="EF24" s="190">
        <v>8288</v>
      </c>
      <c r="EG24" s="190">
        <v>8285</v>
      </c>
      <c r="EH24" s="190">
        <v>8374</v>
      </c>
      <c r="EI24" s="190">
        <v>8451</v>
      </c>
      <c r="EJ24" s="190">
        <v>8521</v>
      </c>
      <c r="EK24" s="190">
        <v>8512</v>
      </c>
      <c r="EL24" s="190">
        <v>8577</v>
      </c>
      <c r="EM24" s="190">
        <v>8529</v>
      </c>
      <c r="EN24" s="190">
        <v>8708</v>
      </c>
      <c r="EO24" s="190">
        <v>8794</v>
      </c>
      <c r="EP24" s="190">
        <v>8940</v>
      </c>
      <c r="EQ24" s="190">
        <v>9080</v>
      </c>
      <c r="ER24" s="190">
        <v>9084</v>
      </c>
      <c r="ES24" s="190">
        <v>9159</v>
      </c>
      <c r="ET24" s="190">
        <v>9283</v>
      </c>
      <c r="EU24" s="190">
        <v>9418</v>
      </c>
      <c r="EV24" s="254">
        <v>9523</v>
      </c>
      <c r="EW24" s="254">
        <v>9823</v>
      </c>
      <c r="EX24" s="254">
        <v>9822</v>
      </c>
      <c r="EY24" s="254">
        <v>9880</v>
      </c>
      <c r="EZ24" s="254">
        <v>9968</v>
      </c>
      <c r="FA24" s="254">
        <v>9926</v>
      </c>
      <c r="FB24" s="254">
        <v>10163</v>
      </c>
      <c r="FC24" s="254">
        <v>10135</v>
      </c>
      <c r="FD24" s="254">
        <v>10148</v>
      </c>
      <c r="FE24" s="254">
        <v>10222</v>
      </c>
      <c r="FF24" s="254">
        <v>10447</v>
      </c>
      <c r="FG24" s="254">
        <v>10527</v>
      </c>
      <c r="FH24" s="254">
        <v>10690</v>
      </c>
      <c r="FI24" s="254">
        <v>10779</v>
      </c>
      <c r="FJ24" s="254">
        <v>10702</v>
      </c>
      <c r="FK24" s="254">
        <v>10731</v>
      </c>
      <c r="FL24" s="254">
        <v>10737</v>
      </c>
      <c r="FM24" s="254">
        <v>10665</v>
      </c>
      <c r="FN24" s="254">
        <v>10884</v>
      </c>
      <c r="FO24" s="254">
        <v>10805</v>
      </c>
      <c r="FP24" s="254">
        <v>10925</v>
      </c>
      <c r="FQ24" s="254">
        <v>10839</v>
      </c>
      <c r="FR24" s="254">
        <v>10827</v>
      </c>
      <c r="FS24" s="254">
        <v>10545</v>
      </c>
    </row>
    <row r="25" spans="1:175" ht="15.75" x14ac:dyDescent="0.25">
      <c r="A25" s="215">
        <v>13</v>
      </c>
      <c r="B25" s="176"/>
      <c r="C25" s="228"/>
      <c r="D25" s="194" t="s">
        <v>109</v>
      </c>
      <c r="E25" s="190">
        <v>16040</v>
      </c>
      <c r="F25" s="190">
        <v>16246</v>
      </c>
      <c r="G25" s="190">
        <v>16089</v>
      </c>
      <c r="H25" s="190">
        <v>16010</v>
      </c>
      <c r="I25" s="190">
        <v>16137</v>
      </c>
      <c r="J25" s="190">
        <v>15895</v>
      </c>
      <c r="K25" s="190">
        <v>15390</v>
      </c>
      <c r="L25" s="190">
        <v>15443</v>
      </c>
      <c r="M25" s="190">
        <v>15500</v>
      </c>
      <c r="N25" s="190">
        <v>15580</v>
      </c>
      <c r="O25" s="190">
        <v>15531</v>
      </c>
      <c r="P25" s="190">
        <v>15414</v>
      </c>
      <c r="Q25" s="190">
        <v>15417</v>
      </c>
      <c r="R25" s="190">
        <v>15731</v>
      </c>
      <c r="S25" s="190">
        <v>15668</v>
      </c>
      <c r="T25" s="190">
        <v>15532</v>
      </c>
      <c r="U25" s="190">
        <v>15597</v>
      </c>
      <c r="V25" s="190">
        <v>15403</v>
      </c>
      <c r="W25" s="190">
        <v>14992</v>
      </c>
      <c r="X25" s="190">
        <v>14994</v>
      </c>
      <c r="Y25" s="190">
        <v>14838</v>
      </c>
      <c r="Z25" s="190">
        <v>15150</v>
      </c>
      <c r="AA25" s="190">
        <v>15185</v>
      </c>
      <c r="AB25" s="190">
        <v>15200</v>
      </c>
      <c r="AC25" s="190">
        <v>15385</v>
      </c>
      <c r="AD25" s="190">
        <v>15650</v>
      </c>
      <c r="AE25" s="190">
        <v>15573</v>
      </c>
      <c r="AF25" s="190">
        <v>15391</v>
      </c>
      <c r="AG25" s="190">
        <v>15250</v>
      </c>
      <c r="AH25" s="190">
        <v>15114</v>
      </c>
      <c r="AI25" s="191">
        <v>14811</v>
      </c>
      <c r="AJ25" s="192">
        <v>14550</v>
      </c>
      <c r="AK25" s="190">
        <v>14577</v>
      </c>
      <c r="AL25" s="190">
        <v>14896</v>
      </c>
      <c r="AM25" s="190">
        <v>14928</v>
      </c>
      <c r="AN25" s="190">
        <v>15071</v>
      </c>
      <c r="AO25" s="190">
        <v>15264</v>
      </c>
      <c r="AP25" s="190">
        <v>15546</v>
      </c>
      <c r="AQ25" s="190">
        <v>15502</v>
      </c>
      <c r="AR25" s="190">
        <v>15539</v>
      </c>
      <c r="AS25" s="190">
        <v>15608</v>
      </c>
      <c r="AT25" s="190">
        <v>15287</v>
      </c>
      <c r="AU25" s="190">
        <v>15239</v>
      </c>
      <c r="AV25" s="190">
        <v>15179</v>
      </c>
      <c r="AW25" s="190">
        <v>15004</v>
      </c>
      <c r="AX25" s="190">
        <v>15235</v>
      </c>
      <c r="AY25" s="190">
        <v>15244</v>
      </c>
      <c r="AZ25" s="190">
        <v>15413</v>
      </c>
      <c r="BA25" s="190">
        <v>15356</v>
      </c>
      <c r="BB25" s="190">
        <v>15447</v>
      </c>
      <c r="BC25" s="190">
        <v>15633</v>
      </c>
      <c r="BD25" s="190">
        <v>15691</v>
      </c>
      <c r="BE25" s="190">
        <v>15513</v>
      </c>
      <c r="BF25" s="190">
        <v>15644</v>
      </c>
      <c r="BG25" s="190">
        <v>15476</v>
      </c>
      <c r="BH25" s="190">
        <v>15477</v>
      </c>
      <c r="BI25" s="190">
        <v>15601</v>
      </c>
      <c r="BJ25" s="190">
        <v>15916</v>
      </c>
      <c r="BK25" s="190">
        <v>16297</v>
      </c>
      <c r="BL25" s="190">
        <v>16720</v>
      </c>
      <c r="BM25" s="190">
        <v>16848</v>
      </c>
      <c r="BN25" s="190">
        <v>17025</v>
      </c>
      <c r="BO25" s="190">
        <v>17103</v>
      </c>
      <c r="BP25" s="190">
        <v>17111</v>
      </c>
      <c r="BQ25" s="190">
        <v>17284</v>
      </c>
      <c r="BR25" s="190">
        <v>17263</v>
      </c>
      <c r="BS25" s="190">
        <v>17128</v>
      </c>
      <c r="BT25" s="190">
        <v>17309</v>
      </c>
      <c r="BU25" s="190">
        <v>17512</v>
      </c>
      <c r="BV25" s="190">
        <v>17519</v>
      </c>
      <c r="BW25" s="190">
        <v>17703</v>
      </c>
      <c r="BX25" s="190">
        <v>17567</v>
      </c>
      <c r="BY25" s="190">
        <v>17604</v>
      </c>
      <c r="BZ25" s="190">
        <v>17791</v>
      </c>
      <c r="CA25" s="190">
        <v>17966</v>
      </c>
      <c r="CB25" s="190">
        <v>17787</v>
      </c>
      <c r="CC25" s="190">
        <v>18110</v>
      </c>
      <c r="CD25" s="190">
        <v>17801</v>
      </c>
      <c r="CE25" s="190">
        <v>17366</v>
      </c>
      <c r="CF25" s="190">
        <v>17543</v>
      </c>
      <c r="CG25" s="190">
        <v>17350</v>
      </c>
      <c r="CH25" s="190">
        <v>17353</v>
      </c>
      <c r="CI25" s="190">
        <v>17440</v>
      </c>
      <c r="CJ25" s="190">
        <v>17176</v>
      </c>
      <c r="CK25" s="190">
        <v>17353</v>
      </c>
      <c r="CL25" s="190">
        <v>17641</v>
      </c>
      <c r="CM25" s="190">
        <v>17637</v>
      </c>
      <c r="CN25" s="190">
        <v>17522</v>
      </c>
      <c r="CO25" s="190">
        <v>17665</v>
      </c>
      <c r="CP25" s="190">
        <v>17512</v>
      </c>
      <c r="CQ25" s="190">
        <v>17345</v>
      </c>
      <c r="CR25" s="190">
        <v>17482</v>
      </c>
      <c r="CS25" s="190">
        <v>17393</v>
      </c>
      <c r="CT25" s="190">
        <v>17874</v>
      </c>
      <c r="CU25" s="190">
        <v>17787</v>
      </c>
      <c r="CV25" s="190">
        <v>17873</v>
      </c>
      <c r="CW25" s="190">
        <v>18502</v>
      </c>
      <c r="CX25" s="190">
        <v>17723</v>
      </c>
      <c r="CY25" s="190">
        <v>17084</v>
      </c>
      <c r="CZ25" s="190">
        <v>16955</v>
      </c>
      <c r="DA25" s="190">
        <v>16600</v>
      </c>
      <c r="DB25" s="190">
        <v>16108</v>
      </c>
      <c r="DC25" s="190">
        <v>16272</v>
      </c>
      <c r="DD25" s="190">
        <v>16093</v>
      </c>
      <c r="DE25" s="190">
        <v>15704</v>
      </c>
      <c r="DF25" s="190">
        <v>15690</v>
      </c>
      <c r="DG25" s="190">
        <v>15304</v>
      </c>
      <c r="DH25" s="190">
        <v>15363</v>
      </c>
      <c r="DI25" s="190">
        <v>14919</v>
      </c>
      <c r="DJ25" s="190">
        <v>14627</v>
      </c>
      <c r="DK25" s="190">
        <v>14245</v>
      </c>
      <c r="DL25" s="190">
        <v>14162</v>
      </c>
      <c r="DM25" s="190">
        <v>14110</v>
      </c>
      <c r="DN25" s="190">
        <v>13783</v>
      </c>
      <c r="DO25" s="190">
        <v>13926</v>
      </c>
      <c r="DP25" s="190">
        <v>14058</v>
      </c>
      <c r="DQ25" s="190">
        <v>14500</v>
      </c>
      <c r="DR25" s="190">
        <v>14713</v>
      </c>
      <c r="DS25" s="190">
        <v>14574</v>
      </c>
      <c r="DT25" s="190">
        <v>14843</v>
      </c>
      <c r="DU25" s="190">
        <v>14752</v>
      </c>
      <c r="DV25" s="190">
        <v>14754</v>
      </c>
      <c r="DW25" s="190">
        <v>14954</v>
      </c>
      <c r="DX25" s="190">
        <v>15004</v>
      </c>
      <c r="DY25" s="190">
        <v>14945</v>
      </c>
      <c r="DZ25" s="190">
        <v>15058</v>
      </c>
      <c r="EA25" s="190">
        <v>14835</v>
      </c>
      <c r="EB25" s="190">
        <v>14746</v>
      </c>
      <c r="EC25" s="190">
        <v>14889</v>
      </c>
      <c r="ED25" s="190">
        <v>15037</v>
      </c>
      <c r="EE25" s="190">
        <v>15026</v>
      </c>
      <c r="EF25" s="190">
        <v>15286</v>
      </c>
      <c r="EG25" s="190">
        <v>15275</v>
      </c>
      <c r="EH25" s="190">
        <v>15299</v>
      </c>
      <c r="EI25" s="190">
        <v>15475</v>
      </c>
      <c r="EJ25" s="190">
        <v>15568</v>
      </c>
      <c r="EK25" s="190">
        <v>15475</v>
      </c>
      <c r="EL25" s="190">
        <v>15549</v>
      </c>
      <c r="EM25" s="190">
        <v>15365</v>
      </c>
      <c r="EN25" s="190">
        <v>15541</v>
      </c>
      <c r="EO25" s="190">
        <v>15707</v>
      </c>
      <c r="EP25" s="190">
        <v>15880</v>
      </c>
      <c r="EQ25" s="190">
        <v>16077</v>
      </c>
      <c r="ER25" s="190">
        <v>16068</v>
      </c>
      <c r="ES25" s="190">
        <v>16149</v>
      </c>
      <c r="ET25" s="190">
        <v>16413</v>
      </c>
      <c r="EU25" s="190">
        <v>16655</v>
      </c>
      <c r="EV25" s="254">
        <v>16822</v>
      </c>
      <c r="EW25" s="254">
        <v>17378</v>
      </c>
      <c r="EX25" s="254">
        <v>17310</v>
      </c>
      <c r="EY25" s="254">
        <v>17351</v>
      </c>
      <c r="EZ25" s="254">
        <v>17512</v>
      </c>
      <c r="FA25" s="254">
        <v>17403</v>
      </c>
      <c r="FB25" s="254">
        <v>17761</v>
      </c>
      <c r="FC25" s="254">
        <v>17702</v>
      </c>
      <c r="FD25" s="254">
        <v>17703</v>
      </c>
      <c r="FE25" s="254">
        <v>17805</v>
      </c>
      <c r="FF25" s="254">
        <v>18231</v>
      </c>
      <c r="FG25" s="254">
        <v>18279</v>
      </c>
      <c r="FH25" s="254">
        <v>18599</v>
      </c>
      <c r="FI25" s="254">
        <v>18631</v>
      </c>
      <c r="FJ25" s="254">
        <v>18454</v>
      </c>
      <c r="FK25" s="254">
        <v>18468</v>
      </c>
      <c r="FL25" s="254">
        <v>18412</v>
      </c>
      <c r="FM25" s="254">
        <v>18375</v>
      </c>
      <c r="FN25" s="254">
        <v>18742</v>
      </c>
      <c r="FO25" s="254">
        <v>18604</v>
      </c>
      <c r="FP25" s="254">
        <v>18735</v>
      </c>
      <c r="FQ25" s="254">
        <v>18702</v>
      </c>
      <c r="FR25" s="254">
        <v>18708</v>
      </c>
      <c r="FS25" s="254">
        <v>18223</v>
      </c>
    </row>
    <row r="26" spans="1:175" ht="15.75" x14ac:dyDescent="0.25">
      <c r="A26" s="215">
        <v>14</v>
      </c>
      <c r="B26" s="176"/>
      <c r="C26" s="229" t="s">
        <v>112</v>
      </c>
      <c r="D26" s="194" t="s">
        <v>108</v>
      </c>
      <c r="E26" s="190">
        <v>74</v>
      </c>
      <c r="F26" s="190">
        <v>78</v>
      </c>
      <c r="G26" s="190">
        <v>83</v>
      </c>
      <c r="H26" s="190">
        <v>84</v>
      </c>
      <c r="I26" s="190">
        <v>79</v>
      </c>
      <c r="J26" s="190">
        <v>74</v>
      </c>
      <c r="K26" s="190">
        <v>75</v>
      </c>
      <c r="L26" s="190">
        <v>72</v>
      </c>
      <c r="M26" s="190">
        <v>77</v>
      </c>
      <c r="N26" s="190">
        <v>74</v>
      </c>
      <c r="O26" s="190">
        <v>73</v>
      </c>
      <c r="P26" s="190">
        <v>73</v>
      </c>
      <c r="Q26" s="190">
        <v>78</v>
      </c>
      <c r="R26" s="190">
        <v>74</v>
      </c>
      <c r="S26" s="190">
        <v>68</v>
      </c>
      <c r="T26" s="190">
        <v>73</v>
      </c>
      <c r="U26" s="190">
        <v>73</v>
      </c>
      <c r="V26" s="190">
        <v>69</v>
      </c>
      <c r="W26" s="190">
        <v>67</v>
      </c>
      <c r="X26" s="190">
        <v>62</v>
      </c>
      <c r="Y26" s="190">
        <v>58</v>
      </c>
      <c r="Z26" s="190">
        <v>57</v>
      </c>
      <c r="AA26" s="190">
        <v>58</v>
      </c>
      <c r="AB26" s="190">
        <v>60</v>
      </c>
      <c r="AC26" s="190">
        <v>61</v>
      </c>
      <c r="AD26" s="190">
        <v>65</v>
      </c>
      <c r="AE26" s="190">
        <v>67</v>
      </c>
      <c r="AF26" s="190">
        <v>67</v>
      </c>
      <c r="AG26" s="190">
        <v>67</v>
      </c>
      <c r="AH26" s="190">
        <v>70</v>
      </c>
      <c r="AI26" s="191">
        <v>66</v>
      </c>
      <c r="AJ26" s="192">
        <v>63</v>
      </c>
      <c r="AK26" s="190">
        <v>65</v>
      </c>
      <c r="AL26" s="190">
        <v>65</v>
      </c>
      <c r="AM26" s="190">
        <v>63</v>
      </c>
      <c r="AN26" s="190">
        <v>67</v>
      </c>
      <c r="AO26" s="190">
        <v>68</v>
      </c>
      <c r="AP26" s="190">
        <v>69</v>
      </c>
      <c r="AQ26" s="190">
        <v>74</v>
      </c>
      <c r="AR26" s="190">
        <v>69</v>
      </c>
      <c r="AS26" s="190">
        <v>68</v>
      </c>
      <c r="AT26" s="190">
        <v>68</v>
      </c>
      <c r="AU26" s="190">
        <v>74</v>
      </c>
      <c r="AV26" s="190">
        <v>74</v>
      </c>
      <c r="AW26" s="190">
        <v>70</v>
      </c>
      <c r="AX26" s="190">
        <v>71</v>
      </c>
      <c r="AY26" s="190">
        <v>69</v>
      </c>
      <c r="AZ26" s="190">
        <v>75</v>
      </c>
      <c r="BA26" s="190">
        <v>78</v>
      </c>
      <c r="BB26" s="190">
        <v>77</v>
      </c>
      <c r="BC26" s="190">
        <v>83</v>
      </c>
      <c r="BD26" s="190">
        <v>83</v>
      </c>
      <c r="BE26" s="190">
        <v>85</v>
      </c>
      <c r="BF26" s="190">
        <v>80</v>
      </c>
      <c r="BG26" s="190">
        <v>87</v>
      </c>
      <c r="BH26" s="190">
        <v>90</v>
      </c>
      <c r="BI26" s="190">
        <v>89</v>
      </c>
      <c r="BJ26" s="190">
        <v>90</v>
      </c>
      <c r="BK26" s="190">
        <v>91</v>
      </c>
      <c r="BL26" s="190">
        <v>91</v>
      </c>
      <c r="BM26" s="190">
        <v>90</v>
      </c>
      <c r="BN26" s="190">
        <v>92</v>
      </c>
      <c r="BO26" s="190">
        <v>93</v>
      </c>
      <c r="BP26" s="190">
        <v>84</v>
      </c>
      <c r="BQ26" s="190">
        <v>79</v>
      </c>
      <c r="BR26" s="190">
        <v>75</v>
      </c>
      <c r="BS26" s="190">
        <v>74</v>
      </c>
      <c r="BT26" s="190">
        <v>82</v>
      </c>
      <c r="BU26" s="190">
        <v>92</v>
      </c>
      <c r="BV26" s="190">
        <v>100</v>
      </c>
      <c r="BW26" s="190">
        <v>104</v>
      </c>
      <c r="BX26" s="190">
        <v>109</v>
      </c>
      <c r="BY26" s="190">
        <v>117</v>
      </c>
      <c r="BZ26" s="190">
        <v>120</v>
      </c>
      <c r="CA26" s="190">
        <v>129</v>
      </c>
      <c r="CB26" s="190">
        <v>131</v>
      </c>
      <c r="CC26" s="190">
        <v>135</v>
      </c>
      <c r="CD26" s="190">
        <v>142</v>
      </c>
      <c r="CE26" s="190">
        <v>141</v>
      </c>
      <c r="CF26" s="190">
        <v>148</v>
      </c>
      <c r="CG26" s="190">
        <v>152</v>
      </c>
      <c r="CH26" s="190">
        <v>159</v>
      </c>
      <c r="CI26" s="190">
        <v>163</v>
      </c>
      <c r="CJ26" s="190">
        <v>169</v>
      </c>
      <c r="CK26" s="190">
        <v>168</v>
      </c>
      <c r="CL26" s="190">
        <v>173</v>
      </c>
      <c r="CM26" s="190">
        <v>179</v>
      </c>
      <c r="CN26" s="190">
        <v>183</v>
      </c>
      <c r="CO26" s="190">
        <v>183</v>
      </c>
      <c r="CP26" s="190">
        <v>184</v>
      </c>
      <c r="CQ26" s="190">
        <v>186</v>
      </c>
      <c r="CR26" s="190">
        <v>186</v>
      </c>
      <c r="CS26" s="190">
        <v>187</v>
      </c>
      <c r="CT26" s="190">
        <v>192</v>
      </c>
      <c r="CU26" s="190">
        <v>191</v>
      </c>
      <c r="CV26" s="190">
        <v>201</v>
      </c>
      <c r="CW26" s="190">
        <v>202</v>
      </c>
      <c r="CX26" s="190">
        <v>199</v>
      </c>
      <c r="CY26" s="190">
        <v>208</v>
      </c>
      <c r="CZ26" s="190">
        <v>202</v>
      </c>
      <c r="DA26" s="190">
        <v>203</v>
      </c>
      <c r="DB26" s="190">
        <v>203</v>
      </c>
      <c r="DC26" s="190">
        <v>210</v>
      </c>
      <c r="DD26" s="190">
        <v>212</v>
      </c>
      <c r="DE26" s="190">
        <v>214</v>
      </c>
      <c r="DF26" s="190">
        <v>219</v>
      </c>
      <c r="DG26" s="190">
        <v>220</v>
      </c>
      <c r="DH26" s="190">
        <v>228</v>
      </c>
      <c r="DI26" s="190">
        <v>224</v>
      </c>
      <c r="DJ26" s="190">
        <v>219</v>
      </c>
      <c r="DK26" s="190">
        <v>214</v>
      </c>
      <c r="DL26" s="190">
        <v>211</v>
      </c>
      <c r="DM26" s="190">
        <v>210</v>
      </c>
      <c r="DN26" s="190">
        <v>214</v>
      </c>
      <c r="DO26" s="190">
        <v>224</v>
      </c>
      <c r="DP26" s="190">
        <v>222</v>
      </c>
      <c r="DQ26" s="190">
        <v>221</v>
      </c>
      <c r="DR26" s="190">
        <v>227</v>
      </c>
      <c r="DS26" s="190">
        <v>222</v>
      </c>
      <c r="DT26" s="190">
        <v>226</v>
      </c>
      <c r="DU26" s="190">
        <v>229</v>
      </c>
      <c r="DV26" s="190">
        <v>225</v>
      </c>
      <c r="DW26" s="190">
        <v>225</v>
      </c>
      <c r="DX26" s="190">
        <v>223</v>
      </c>
      <c r="DY26" s="190">
        <v>218</v>
      </c>
      <c r="DZ26" s="190">
        <v>215</v>
      </c>
      <c r="EA26" s="190">
        <v>220</v>
      </c>
      <c r="EB26" s="190">
        <v>219</v>
      </c>
      <c r="EC26" s="190">
        <v>219</v>
      </c>
      <c r="ED26" s="190">
        <v>223</v>
      </c>
      <c r="EE26" s="190">
        <v>223</v>
      </c>
      <c r="EF26" s="190">
        <v>224</v>
      </c>
      <c r="EG26" s="190">
        <v>221</v>
      </c>
      <c r="EH26" s="190">
        <v>198</v>
      </c>
      <c r="EI26" s="190">
        <v>176</v>
      </c>
      <c r="EJ26" s="190">
        <v>163</v>
      </c>
      <c r="EK26" s="190">
        <v>139</v>
      </c>
      <c r="EL26" s="190">
        <v>137</v>
      </c>
      <c r="EM26" s="190">
        <v>129</v>
      </c>
      <c r="EN26" s="190">
        <v>133</v>
      </c>
      <c r="EO26" s="190">
        <v>136</v>
      </c>
      <c r="EP26" s="190">
        <v>141</v>
      </c>
      <c r="EQ26" s="190">
        <v>145</v>
      </c>
      <c r="ER26" s="190">
        <v>148</v>
      </c>
      <c r="ES26" s="190">
        <v>147</v>
      </c>
      <c r="ET26" s="190">
        <v>154</v>
      </c>
      <c r="EU26" s="190">
        <v>157</v>
      </c>
      <c r="EV26" s="254">
        <v>159</v>
      </c>
      <c r="EW26" s="254">
        <v>158</v>
      </c>
      <c r="EX26" s="254">
        <v>163</v>
      </c>
      <c r="EY26" s="254">
        <v>169</v>
      </c>
      <c r="EZ26" s="254">
        <v>170</v>
      </c>
      <c r="FA26" s="254">
        <v>175</v>
      </c>
      <c r="FB26" s="254">
        <v>179</v>
      </c>
      <c r="FC26" s="254">
        <v>180</v>
      </c>
      <c r="FD26" s="254">
        <v>188</v>
      </c>
      <c r="FE26" s="254">
        <v>186</v>
      </c>
      <c r="FF26" s="254">
        <v>184</v>
      </c>
      <c r="FG26" s="254">
        <v>187</v>
      </c>
      <c r="FH26" s="254">
        <v>179</v>
      </c>
      <c r="FI26" s="254">
        <v>172</v>
      </c>
      <c r="FJ26" s="254">
        <v>169</v>
      </c>
      <c r="FK26" s="254">
        <v>166</v>
      </c>
      <c r="FL26" s="254">
        <v>168</v>
      </c>
      <c r="FM26" s="254">
        <v>167</v>
      </c>
      <c r="FN26" s="254">
        <v>172</v>
      </c>
      <c r="FO26" s="254">
        <v>169</v>
      </c>
      <c r="FP26" s="254">
        <v>167</v>
      </c>
      <c r="FQ26" s="254">
        <v>162</v>
      </c>
      <c r="FR26" s="254">
        <v>167</v>
      </c>
      <c r="FS26" s="254">
        <v>169</v>
      </c>
    </row>
    <row r="27" spans="1:175" ht="15.75" x14ac:dyDescent="0.25">
      <c r="A27" s="215">
        <v>15</v>
      </c>
      <c r="B27" s="176"/>
      <c r="C27" s="179" t="s">
        <v>114</v>
      </c>
      <c r="D27" s="178" t="s">
        <v>110</v>
      </c>
      <c r="E27" s="190">
        <v>97</v>
      </c>
      <c r="F27" s="190">
        <v>100</v>
      </c>
      <c r="G27" s="190">
        <v>109</v>
      </c>
      <c r="H27" s="190">
        <v>113</v>
      </c>
      <c r="I27" s="190">
        <v>106</v>
      </c>
      <c r="J27" s="190">
        <v>102</v>
      </c>
      <c r="K27" s="190">
        <v>105</v>
      </c>
      <c r="L27" s="190">
        <v>102</v>
      </c>
      <c r="M27" s="190">
        <v>105</v>
      </c>
      <c r="N27" s="190">
        <v>101</v>
      </c>
      <c r="O27" s="190">
        <v>97</v>
      </c>
      <c r="P27" s="190">
        <v>97</v>
      </c>
      <c r="Q27" s="190">
        <v>102</v>
      </c>
      <c r="R27" s="190">
        <v>100</v>
      </c>
      <c r="S27" s="190">
        <v>92</v>
      </c>
      <c r="T27" s="190">
        <v>101</v>
      </c>
      <c r="U27" s="190">
        <v>105</v>
      </c>
      <c r="V27" s="190">
        <v>98</v>
      </c>
      <c r="W27" s="190">
        <v>98</v>
      </c>
      <c r="X27" s="190">
        <v>92</v>
      </c>
      <c r="Y27" s="190">
        <v>86</v>
      </c>
      <c r="Z27" s="190">
        <v>84</v>
      </c>
      <c r="AA27" s="190">
        <v>85</v>
      </c>
      <c r="AB27" s="190">
        <v>89</v>
      </c>
      <c r="AC27" s="190">
        <v>88</v>
      </c>
      <c r="AD27" s="190">
        <v>93</v>
      </c>
      <c r="AE27" s="190">
        <v>94</v>
      </c>
      <c r="AF27" s="190">
        <v>92</v>
      </c>
      <c r="AG27" s="190">
        <v>93</v>
      </c>
      <c r="AH27" s="190">
        <v>100</v>
      </c>
      <c r="AI27" s="191">
        <v>94</v>
      </c>
      <c r="AJ27" s="192">
        <v>89</v>
      </c>
      <c r="AK27" s="190">
        <v>93</v>
      </c>
      <c r="AL27" s="190">
        <v>93</v>
      </c>
      <c r="AM27" s="190">
        <v>91</v>
      </c>
      <c r="AN27" s="190">
        <v>92</v>
      </c>
      <c r="AO27" s="190">
        <v>96</v>
      </c>
      <c r="AP27" s="190">
        <v>100</v>
      </c>
      <c r="AQ27" s="190">
        <v>105</v>
      </c>
      <c r="AR27" s="190">
        <v>99</v>
      </c>
      <c r="AS27" s="190">
        <v>97</v>
      </c>
      <c r="AT27" s="190">
        <v>103</v>
      </c>
      <c r="AU27" s="190">
        <v>115</v>
      </c>
      <c r="AV27" s="190">
        <v>113</v>
      </c>
      <c r="AW27" s="190">
        <v>107</v>
      </c>
      <c r="AX27" s="190">
        <v>109</v>
      </c>
      <c r="AY27" s="190">
        <v>107</v>
      </c>
      <c r="AZ27" s="190">
        <v>112</v>
      </c>
      <c r="BA27" s="190">
        <v>113</v>
      </c>
      <c r="BB27" s="190">
        <v>111</v>
      </c>
      <c r="BC27" s="190">
        <v>121</v>
      </c>
      <c r="BD27" s="190">
        <v>120</v>
      </c>
      <c r="BE27" s="190">
        <v>127</v>
      </c>
      <c r="BF27" s="190">
        <v>119</v>
      </c>
      <c r="BG27" s="190">
        <v>129</v>
      </c>
      <c r="BH27" s="190">
        <v>142</v>
      </c>
      <c r="BI27" s="190">
        <v>132</v>
      </c>
      <c r="BJ27" s="190">
        <v>129</v>
      </c>
      <c r="BK27" s="190">
        <v>129</v>
      </c>
      <c r="BL27" s="190">
        <v>128</v>
      </c>
      <c r="BM27" s="190">
        <v>125</v>
      </c>
      <c r="BN27" s="190">
        <v>127</v>
      </c>
      <c r="BO27" s="190">
        <v>128</v>
      </c>
      <c r="BP27" s="190">
        <v>118</v>
      </c>
      <c r="BQ27" s="190">
        <v>113</v>
      </c>
      <c r="BR27" s="190">
        <v>110</v>
      </c>
      <c r="BS27" s="190">
        <v>110</v>
      </c>
      <c r="BT27" s="190">
        <v>123</v>
      </c>
      <c r="BU27" s="190">
        <v>136</v>
      </c>
      <c r="BV27" s="190">
        <v>150</v>
      </c>
      <c r="BW27" s="190">
        <v>153</v>
      </c>
      <c r="BX27" s="190">
        <v>161</v>
      </c>
      <c r="BY27" s="190">
        <v>172</v>
      </c>
      <c r="BZ27" s="190">
        <v>175</v>
      </c>
      <c r="CA27" s="190">
        <v>189</v>
      </c>
      <c r="CB27" s="190">
        <v>193</v>
      </c>
      <c r="CC27" s="190">
        <v>195</v>
      </c>
      <c r="CD27" s="190">
        <v>200</v>
      </c>
      <c r="CE27" s="190">
        <v>200</v>
      </c>
      <c r="CF27" s="190">
        <v>205</v>
      </c>
      <c r="CG27" s="190">
        <v>211</v>
      </c>
      <c r="CH27" s="190">
        <v>221</v>
      </c>
      <c r="CI27" s="190">
        <v>234</v>
      </c>
      <c r="CJ27" s="190">
        <v>247</v>
      </c>
      <c r="CK27" s="190">
        <v>246</v>
      </c>
      <c r="CL27" s="190">
        <v>250</v>
      </c>
      <c r="CM27" s="190">
        <v>259</v>
      </c>
      <c r="CN27" s="190">
        <v>265</v>
      </c>
      <c r="CO27" s="190">
        <v>263</v>
      </c>
      <c r="CP27" s="190">
        <v>258</v>
      </c>
      <c r="CQ27" s="190">
        <v>260</v>
      </c>
      <c r="CR27" s="190">
        <v>259</v>
      </c>
      <c r="CS27" s="190">
        <v>261</v>
      </c>
      <c r="CT27" s="190">
        <v>266</v>
      </c>
      <c r="CU27" s="190">
        <v>267</v>
      </c>
      <c r="CV27" s="190">
        <v>281</v>
      </c>
      <c r="CW27" s="190">
        <v>279</v>
      </c>
      <c r="CX27" s="190">
        <v>275</v>
      </c>
      <c r="CY27" s="190">
        <v>285</v>
      </c>
      <c r="CZ27" s="190">
        <v>278</v>
      </c>
      <c r="DA27" s="190">
        <v>285</v>
      </c>
      <c r="DB27" s="190">
        <v>286</v>
      </c>
      <c r="DC27" s="190">
        <v>292</v>
      </c>
      <c r="DD27" s="190">
        <v>290</v>
      </c>
      <c r="DE27" s="190">
        <v>289</v>
      </c>
      <c r="DF27" s="190">
        <v>294</v>
      </c>
      <c r="DG27" s="190">
        <v>289</v>
      </c>
      <c r="DH27" s="190">
        <v>300</v>
      </c>
      <c r="DI27" s="190">
        <v>295</v>
      </c>
      <c r="DJ27" s="190">
        <v>288</v>
      </c>
      <c r="DK27" s="190">
        <v>280</v>
      </c>
      <c r="DL27" s="190">
        <v>278</v>
      </c>
      <c r="DM27" s="190">
        <v>277</v>
      </c>
      <c r="DN27" s="190">
        <v>282</v>
      </c>
      <c r="DO27" s="190">
        <v>292</v>
      </c>
      <c r="DP27" s="190">
        <v>291</v>
      </c>
      <c r="DQ27" s="190">
        <v>294</v>
      </c>
      <c r="DR27" s="190">
        <v>301</v>
      </c>
      <c r="DS27" s="190">
        <v>296</v>
      </c>
      <c r="DT27" s="190">
        <v>302</v>
      </c>
      <c r="DU27" s="190">
        <v>307</v>
      </c>
      <c r="DV27" s="190">
        <v>304</v>
      </c>
      <c r="DW27" s="190">
        <v>307</v>
      </c>
      <c r="DX27" s="190">
        <v>303</v>
      </c>
      <c r="DY27" s="190">
        <v>296</v>
      </c>
      <c r="DZ27" s="190">
        <v>291</v>
      </c>
      <c r="EA27" s="190">
        <v>301</v>
      </c>
      <c r="EB27" s="190">
        <v>304</v>
      </c>
      <c r="EC27" s="190">
        <v>304</v>
      </c>
      <c r="ED27" s="190">
        <v>309</v>
      </c>
      <c r="EE27" s="190">
        <v>306</v>
      </c>
      <c r="EF27" s="190">
        <v>306</v>
      </c>
      <c r="EG27" s="190">
        <v>298</v>
      </c>
      <c r="EH27" s="190">
        <v>265</v>
      </c>
      <c r="EI27" s="190">
        <v>243</v>
      </c>
      <c r="EJ27" s="190">
        <v>227</v>
      </c>
      <c r="EK27" s="190">
        <v>195</v>
      </c>
      <c r="EL27" s="190">
        <v>191</v>
      </c>
      <c r="EM27" s="190">
        <v>180</v>
      </c>
      <c r="EN27" s="190">
        <v>181</v>
      </c>
      <c r="EO27" s="190">
        <v>190</v>
      </c>
      <c r="EP27" s="190">
        <v>198</v>
      </c>
      <c r="EQ27" s="190">
        <v>203</v>
      </c>
      <c r="ER27" s="190">
        <v>206</v>
      </c>
      <c r="ES27" s="190">
        <v>202</v>
      </c>
      <c r="ET27" s="190">
        <v>209</v>
      </c>
      <c r="EU27" s="190">
        <v>211</v>
      </c>
      <c r="EV27" s="254">
        <v>214</v>
      </c>
      <c r="EW27" s="254">
        <v>213</v>
      </c>
      <c r="EX27" s="254">
        <v>220</v>
      </c>
      <c r="EY27" s="254">
        <v>226</v>
      </c>
      <c r="EZ27" s="254">
        <v>232</v>
      </c>
      <c r="FA27" s="254">
        <v>241</v>
      </c>
      <c r="FB27" s="254">
        <v>249</v>
      </c>
      <c r="FC27" s="254">
        <v>249</v>
      </c>
      <c r="FD27" s="254">
        <v>258</v>
      </c>
      <c r="FE27" s="254">
        <v>254</v>
      </c>
      <c r="FF27" s="254">
        <v>253</v>
      </c>
      <c r="FG27" s="254">
        <v>257</v>
      </c>
      <c r="FH27" s="254">
        <v>247</v>
      </c>
      <c r="FI27" s="254">
        <v>237</v>
      </c>
      <c r="FJ27" s="254">
        <v>232</v>
      </c>
      <c r="FK27" s="254">
        <v>227</v>
      </c>
      <c r="FL27" s="254">
        <v>235</v>
      </c>
      <c r="FM27" s="254">
        <v>236</v>
      </c>
      <c r="FN27" s="254">
        <v>245</v>
      </c>
      <c r="FO27" s="254">
        <v>243</v>
      </c>
      <c r="FP27" s="254">
        <v>232</v>
      </c>
      <c r="FQ27" s="254">
        <v>225</v>
      </c>
      <c r="FR27" s="254">
        <v>233</v>
      </c>
      <c r="FS27" s="254">
        <v>232</v>
      </c>
    </row>
    <row r="28" spans="1:175" ht="15.75" x14ac:dyDescent="0.25">
      <c r="A28" s="215">
        <v>16</v>
      </c>
      <c r="B28" s="176"/>
      <c r="C28" s="229" t="s">
        <v>115</v>
      </c>
      <c r="D28" s="178" t="s">
        <v>108</v>
      </c>
      <c r="E28" s="190">
        <v>29</v>
      </c>
      <c r="F28" s="190">
        <v>33</v>
      </c>
      <c r="G28" s="190">
        <v>22</v>
      </c>
      <c r="H28" s="190">
        <v>34</v>
      </c>
      <c r="I28" s="190">
        <v>20</v>
      </c>
      <c r="J28" s="190">
        <v>23</v>
      </c>
      <c r="K28" s="190">
        <v>43</v>
      </c>
      <c r="L28" s="190">
        <v>35</v>
      </c>
      <c r="M28" s="190">
        <v>37</v>
      </c>
      <c r="N28" s="190">
        <v>29</v>
      </c>
      <c r="O28" s="190">
        <v>29</v>
      </c>
      <c r="P28" s="190">
        <v>29</v>
      </c>
      <c r="Q28" s="190">
        <v>25</v>
      </c>
      <c r="R28" s="190">
        <v>32</v>
      </c>
      <c r="S28" s="190">
        <v>24</v>
      </c>
      <c r="T28" s="190">
        <v>31</v>
      </c>
      <c r="U28" s="190">
        <v>31</v>
      </c>
      <c r="V28" s="190">
        <v>30</v>
      </c>
      <c r="W28" s="190">
        <v>28</v>
      </c>
      <c r="X28" s="190">
        <v>32</v>
      </c>
      <c r="Y28" s="190">
        <v>22</v>
      </c>
      <c r="Z28" s="190">
        <v>18</v>
      </c>
      <c r="AA28" s="190">
        <v>15</v>
      </c>
      <c r="AB28" s="190">
        <v>21</v>
      </c>
      <c r="AC28" s="190">
        <v>19</v>
      </c>
      <c r="AD28" s="190">
        <v>26</v>
      </c>
      <c r="AE28" s="190">
        <v>23</v>
      </c>
      <c r="AF28" s="190">
        <v>19</v>
      </c>
      <c r="AG28" s="190">
        <v>26</v>
      </c>
      <c r="AH28" s="190">
        <v>27</v>
      </c>
      <c r="AI28" s="191">
        <v>18</v>
      </c>
      <c r="AJ28" s="192">
        <v>38</v>
      </c>
      <c r="AK28" s="190">
        <v>66</v>
      </c>
      <c r="AL28" s="190">
        <v>80</v>
      </c>
      <c r="AM28" s="190">
        <v>97</v>
      </c>
      <c r="AN28" s="190">
        <v>105</v>
      </c>
      <c r="AO28" s="190">
        <v>84</v>
      </c>
      <c r="AP28" s="190">
        <v>71</v>
      </c>
      <c r="AQ28" s="190">
        <v>74</v>
      </c>
      <c r="AR28" s="190">
        <v>50</v>
      </c>
      <c r="AS28" s="190">
        <v>47</v>
      </c>
      <c r="AT28" s="190">
        <v>34</v>
      </c>
      <c r="AU28" s="190">
        <v>47</v>
      </c>
      <c r="AV28" s="190">
        <v>52</v>
      </c>
      <c r="AW28" s="190">
        <v>34</v>
      </c>
      <c r="AX28" s="190">
        <v>88</v>
      </c>
      <c r="AY28" s="190">
        <v>71</v>
      </c>
      <c r="AZ28" s="190">
        <v>82</v>
      </c>
      <c r="BA28" s="190">
        <v>74</v>
      </c>
      <c r="BB28" s="190">
        <v>48</v>
      </c>
      <c r="BC28" s="190">
        <v>70</v>
      </c>
      <c r="BD28" s="190">
        <v>44</v>
      </c>
      <c r="BE28" s="190">
        <v>43</v>
      </c>
      <c r="BF28" s="190">
        <v>56</v>
      </c>
      <c r="BG28" s="190">
        <v>62</v>
      </c>
      <c r="BH28" s="190">
        <v>62</v>
      </c>
      <c r="BI28" s="190">
        <v>40</v>
      </c>
      <c r="BJ28" s="190">
        <v>72</v>
      </c>
      <c r="BK28" s="190">
        <v>63</v>
      </c>
      <c r="BL28" s="190">
        <v>64</v>
      </c>
      <c r="BM28" s="190">
        <v>49</v>
      </c>
      <c r="BN28" s="190">
        <v>92</v>
      </c>
      <c r="BO28" s="190">
        <v>74</v>
      </c>
      <c r="BP28" s="190">
        <v>54</v>
      </c>
      <c r="BQ28" s="190">
        <v>62</v>
      </c>
      <c r="BR28" s="190">
        <v>53</v>
      </c>
      <c r="BS28" s="190">
        <v>65</v>
      </c>
      <c r="BT28" s="190">
        <v>47</v>
      </c>
      <c r="BU28" s="190">
        <v>51</v>
      </c>
      <c r="BV28" s="190">
        <v>67</v>
      </c>
      <c r="BW28" s="190">
        <v>54</v>
      </c>
      <c r="BX28" s="190">
        <v>60</v>
      </c>
      <c r="BY28" s="190">
        <v>68</v>
      </c>
      <c r="BZ28" s="190">
        <v>80</v>
      </c>
      <c r="CA28" s="190">
        <v>59</v>
      </c>
      <c r="CB28" s="190">
        <v>54</v>
      </c>
      <c r="CC28" s="190">
        <v>61</v>
      </c>
      <c r="CD28" s="190">
        <v>57</v>
      </c>
      <c r="CE28" s="190">
        <v>70</v>
      </c>
      <c r="CF28" s="190">
        <v>63</v>
      </c>
      <c r="CG28" s="190">
        <v>52</v>
      </c>
      <c r="CH28" s="190">
        <v>55</v>
      </c>
      <c r="CI28" s="190">
        <v>63</v>
      </c>
      <c r="CJ28" s="190">
        <v>59</v>
      </c>
      <c r="CK28" s="190">
        <v>60</v>
      </c>
      <c r="CL28" s="190">
        <v>88</v>
      </c>
      <c r="CM28" s="190">
        <v>73</v>
      </c>
      <c r="CN28" s="190">
        <v>62</v>
      </c>
      <c r="CO28" s="190">
        <v>58</v>
      </c>
      <c r="CP28" s="190">
        <v>63</v>
      </c>
      <c r="CQ28" s="190">
        <v>63</v>
      </c>
      <c r="CR28" s="190">
        <v>45</v>
      </c>
      <c r="CS28" s="190">
        <v>40</v>
      </c>
      <c r="CT28" s="190">
        <v>43</v>
      </c>
      <c r="CU28" s="190">
        <v>51</v>
      </c>
      <c r="CV28" s="190">
        <v>42</v>
      </c>
      <c r="CW28" s="190">
        <v>97</v>
      </c>
      <c r="CX28" s="190">
        <v>59</v>
      </c>
      <c r="CY28" s="190">
        <v>54</v>
      </c>
      <c r="CZ28" s="190">
        <v>52</v>
      </c>
      <c r="DA28" s="190">
        <v>107</v>
      </c>
      <c r="DB28" s="190">
        <v>130</v>
      </c>
      <c r="DC28" s="190">
        <v>93</v>
      </c>
      <c r="DD28" s="190">
        <v>82</v>
      </c>
      <c r="DE28" s="190">
        <v>73</v>
      </c>
      <c r="DF28" s="190">
        <v>61</v>
      </c>
      <c r="DG28" s="190">
        <v>76</v>
      </c>
      <c r="DH28" s="190">
        <v>118</v>
      </c>
      <c r="DI28" s="190">
        <v>82</v>
      </c>
      <c r="DJ28" s="190">
        <v>94</v>
      </c>
      <c r="DK28" s="190">
        <v>97</v>
      </c>
      <c r="DL28" s="190">
        <v>144</v>
      </c>
      <c r="DM28" s="190">
        <v>123</v>
      </c>
      <c r="DN28" s="190">
        <v>137</v>
      </c>
      <c r="DO28" s="190">
        <v>101</v>
      </c>
      <c r="DP28" s="190">
        <v>106</v>
      </c>
      <c r="DQ28" s="190">
        <v>91</v>
      </c>
      <c r="DR28" s="190">
        <v>110</v>
      </c>
      <c r="DS28" s="190">
        <v>106</v>
      </c>
      <c r="DT28" s="190">
        <v>115</v>
      </c>
      <c r="DU28" s="190">
        <v>115</v>
      </c>
      <c r="DV28" s="190">
        <v>182</v>
      </c>
      <c r="DW28" s="190">
        <v>134</v>
      </c>
      <c r="DX28" s="190">
        <v>98</v>
      </c>
      <c r="DY28" s="190">
        <v>178</v>
      </c>
      <c r="DZ28" s="190">
        <v>175</v>
      </c>
      <c r="EA28" s="190">
        <v>116</v>
      </c>
      <c r="EB28" s="190">
        <v>128</v>
      </c>
      <c r="EC28" s="190">
        <v>88</v>
      </c>
      <c r="ED28" s="190">
        <v>129</v>
      </c>
      <c r="EE28" s="190">
        <v>120</v>
      </c>
      <c r="EF28" s="190">
        <v>157</v>
      </c>
      <c r="EG28" s="190">
        <v>162</v>
      </c>
      <c r="EH28" s="190">
        <v>269</v>
      </c>
      <c r="EI28" s="190">
        <v>195</v>
      </c>
      <c r="EJ28" s="190">
        <v>121</v>
      </c>
      <c r="EK28" s="190">
        <v>129</v>
      </c>
      <c r="EL28" s="190">
        <v>108</v>
      </c>
      <c r="EM28" s="190">
        <v>113</v>
      </c>
      <c r="EN28" s="190">
        <v>99</v>
      </c>
      <c r="EO28" s="190">
        <v>81</v>
      </c>
      <c r="EP28" s="190">
        <v>91</v>
      </c>
      <c r="EQ28" s="190">
        <v>78</v>
      </c>
      <c r="ER28" s="190">
        <v>73</v>
      </c>
      <c r="ES28" s="190">
        <v>94</v>
      </c>
      <c r="ET28" s="190">
        <v>128</v>
      </c>
      <c r="EU28" s="190">
        <v>86</v>
      </c>
      <c r="EV28" s="254">
        <v>90</v>
      </c>
      <c r="EW28" s="254">
        <v>72</v>
      </c>
      <c r="EX28" s="254">
        <v>78</v>
      </c>
      <c r="EY28" s="254">
        <v>78</v>
      </c>
      <c r="EZ28" s="254">
        <v>55</v>
      </c>
      <c r="FA28" s="254">
        <v>31</v>
      </c>
      <c r="FB28" s="254">
        <v>57</v>
      </c>
      <c r="FC28" s="254">
        <v>60</v>
      </c>
      <c r="FD28" s="254">
        <v>52</v>
      </c>
      <c r="FE28" s="254">
        <v>61</v>
      </c>
      <c r="FF28" s="254">
        <v>112</v>
      </c>
      <c r="FG28" s="254">
        <v>101</v>
      </c>
      <c r="FH28" s="254">
        <v>83</v>
      </c>
      <c r="FI28" s="254">
        <v>52</v>
      </c>
      <c r="FJ28" s="254">
        <v>64</v>
      </c>
      <c r="FK28" s="254">
        <v>57</v>
      </c>
      <c r="FL28" s="254">
        <v>48</v>
      </c>
      <c r="FM28" s="254">
        <v>48</v>
      </c>
      <c r="FN28" s="254">
        <v>55</v>
      </c>
      <c r="FO28" s="254">
        <v>40</v>
      </c>
      <c r="FP28" s="254">
        <v>57</v>
      </c>
      <c r="FQ28" s="254">
        <v>53</v>
      </c>
      <c r="FR28" s="254">
        <v>137</v>
      </c>
      <c r="FS28" s="254">
        <v>85</v>
      </c>
    </row>
    <row r="29" spans="1:175" ht="15.75" x14ac:dyDescent="0.25">
      <c r="A29" s="215">
        <v>17</v>
      </c>
      <c r="B29" s="176"/>
      <c r="C29" s="179"/>
      <c r="D29" s="194" t="s">
        <v>109</v>
      </c>
      <c r="E29" s="190">
        <v>70</v>
      </c>
      <c r="F29" s="190">
        <v>74</v>
      </c>
      <c r="G29" s="190">
        <v>55</v>
      </c>
      <c r="H29" s="190">
        <v>75</v>
      </c>
      <c r="I29" s="190">
        <v>53</v>
      </c>
      <c r="J29" s="190">
        <v>66</v>
      </c>
      <c r="K29" s="190">
        <v>104</v>
      </c>
      <c r="L29" s="190">
        <v>90</v>
      </c>
      <c r="M29" s="190">
        <v>84</v>
      </c>
      <c r="N29" s="190">
        <v>70</v>
      </c>
      <c r="O29" s="190">
        <v>69</v>
      </c>
      <c r="P29" s="190">
        <v>78</v>
      </c>
      <c r="Q29" s="190">
        <v>57</v>
      </c>
      <c r="R29" s="190">
        <v>96</v>
      </c>
      <c r="S29" s="190">
        <v>59</v>
      </c>
      <c r="T29" s="190">
        <v>74</v>
      </c>
      <c r="U29" s="190">
        <v>69</v>
      </c>
      <c r="V29" s="190">
        <v>77</v>
      </c>
      <c r="W29" s="190">
        <v>78</v>
      </c>
      <c r="X29" s="190">
        <v>78</v>
      </c>
      <c r="Y29" s="190">
        <v>50</v>
      </c>
      <c r="Z29" s="190">
        <v>40</v>
      </c>
      <c r="AA29" s="190">
        <v>32</v>
      </c>
      <c r="AB29" s="190">
        <v>50</v>
      </c>
      <c r="AC29" s="190">
        <v>47</v>
      </c>
      <c r="AD29" s="190">
        <v>63</v>
      </c>
      <c r="AE29" s="190">
        <v>73</v>
      </c>
      <c r="AF29" s="190">
        <v>35</v>
      </c>
      <c r="AG29" s="190">
        <v>64</v>
      </c>
      <c r="AH29" s="190">
        <v>69</v>
      </c>
      <c r="AI29" s="191">
        <v>49</v>
      </c>
      <c r="AJ29" s="192">
        <v>79</v>
      </c>
      <c r="AK29" s="190">
        <v>139</v>
      </c>
      <c r="AL29" s="190">
        <v>175</v>
      </c>
      <c r="AM29" s="190">
        <v>178</v>
      </c>
      <c r="AN29" s="190">
        <v>214</v>
      </c>
      <c r="AO29" s="190">
        <v>169</v>
      </c>
      <c r="AP29" s="190">
        <v>151</v>
      </c>
      <c r="AQ29" s="190">
        <v>151</v>
      </c>
      <c r="AR29" s="190">
        <v>106</v>
      </c>
      <c r="AS29" s="190">
        <v>81</v>
      </c>
      <c r="AT29" s="190">
        <v>65</v>
      </c>
      <c r="AU29" s="190">
        <v>111</v>
      </c>
      <c r="AV29" s="190">
        <v>118</v>
      </c>
      <c r="AW29" s="190">
        <v>59</v>
      </c>
      <c r="AX29" s="190">
        <v>193</v>
      </c>
      <c r="AY29" s="190">
        <v>160</v>
      </c>
      <c r="AZ29" s="190">
        <v>165</v>
      </c>
      <c r="BA29" s="190">
        <v>160</v>
      </c>
      <c r="BB29" s="190">
        <v>88</v>
      </c>
      <c r="BC29" s="190">
        <v>136</v>
      </c>
      <c r="BD29" s="190">
        <v>73</v>
      </c>
      <c r="BE29" s="190">
        <v>83</v>
      </c>
      <c r="BF29" s="190">
        <v>121</v>
      </c>
      <c r="BG29" s="190">
        <v>112</v>
      </c>
      <c r="BH29" s="190">
        <v>113</v>
      </c>
      <c r="BI29" s="190">
        <v>77</v>
      </c>
      <c r="BJ29" s="190">
        <v>154</v>
      </c>
      <c r="BK29" s="190">
        <v>117</v>
      </c>
      <c r="BL29" s="190">
        <v>111</v>
      </c>
      <c r="BM29" s="190">
        <v>89</v>
      </c>
      <c r="BN29" s="190">
        <v>163</v>
      </c>
      <c r="BO29" s="190">
        <v>149</v>
      </c>
      <c r="BP29" s="190">
        <v>104</v>
      </c>
      <c r="BQ29" s="190">
        <v>106</v>
      </c>
      <c r="BR29" s="190">
        <v>100</v>
      </c>
      <c r="BS29" s="190">
        <v>128</v>
      </c>
      <c r="BT29" s="190">
        <v>92</v>
      </c>
      <c r="BU29" s="190">
        <v>101</v>
      </c>
      <c r="BV29" s="190">
        <v>149</v>
      </c>
      <c r="BW29" s="190">
        <v>133</v>
      </c>
      <c r="BX29" s="190">
        <v>107</v>
      </c>
      <c r="BY29" s="190">
        <v>140</v>
      </c>
      <c r="BZ29" s="190">
        <v>175</v>
      </c>
      <c r="CA29" s="190">
        <v>130</v>
      </c>
      <c r="CB29" s="190">
        <v>97</v>
      </c>
      <c r="CC29" s="190">
        <v>124</v>
      </c>
      <c r="CD29" s="190">
        <v>115</v>
      </c>
      <c r="CE29" s="190">
        <v>140</v>
      </c>
      <c r="CF29" s="190">
        <v>119</v>
      </c>
      <c r="CG29" s="190">
        <v>83</v>
      </c>
      <c r="CH29" s="190">
        <v>100</v>
      </c>
      <c r="CI29" s="190">
        <v>125</v>
      </c>
      <c r="CJ29" s="190">
        <v>88</v>
      </c>
      <c r="CK29" s="190">
        <v>118</v>
      </c>
      <c r="CL29" s="190">
        <v>200</v>
      </c>
      <c r="CM29" s="190">
        <v>130</v>
      </c>
      <c r="CN29" s="190">
        <v>98</v>
      </c>
      <c r="CO29" s="190">
        <v>126</v>
      </c>
      <c r="CP29" s="190">
        <v>99</v>
      </c>
      <c r="CQ29" s="190">
        <v>132</v>
      </c>
      <c r="CR29" s="190">
        <v>74</v>
      </c>
      <c r="CS29" s="190">
        <v>73</v>
      </c>
      <c r="CT29" s="190">
        <v>75</v>
      </c>
      <c r="CU29" s="190">
        <v>104</v>
      </c>
      <c r="CV29" s="190">
        <v>73</v>
      </c>
      <c r="CW29" s="190">
        <v>166</v>
      </c>
      <c r="CX29" s="190">
        <v>86</v>
      </c>
      <c r="CY29" s="190">
        <v>82</v>
      </c>
      <c r="CZ29" s="190">
        <v>78</v>
      </c>
      <c r="DA29" s="190">
        <v>207</v>
      </c>
      <c r="DB29" s="190">
        <v>254</v>
      </c>
      <c r="DC29" s="190">
        <v>193</v>
      </c>
      <c r="DD29" s="190">
        <v>163</v>
      </c>
      <c r="DE29" s="190">
        <v>127</v>
      </c>
      <c r="DF29" s="190">
        <v>95</v>
      </c>
      <c r="DG29" s="190">
        <v>131</v>
      </c>
      <c r="DH29" s="190">
        <v>220</v>
      </c>
      <c r="DI29" s="190">
        <v>137</v>
      </c>
      <c r="DJ29" s="190">
        <v>152</v>
      </c>
      <c r="DK29" s="190">
        <v>165</v>
      </c>
      <c r="DL29" s="190">
        <v>252</v>
      </c>
      <c r="DM29" s="190">
        <v>233</v>
      </c>
      <c r="DN29" s="190">
        <v>265</v>
      </c>
      <c r="DO29" s="190">
        <v>176</v>
      </c>
      <c r="DP29" s="190">
        <v>215</v>
      </c>
      <c r="DQ29" s="190">
        <v>180</v>
      </c>
      <c r="DR29" s="190">
        <v>201</v>
      </c>
      <c r="DS29" s="190">
        <v>220</v>
      </c>
      <c r="DT29" s="190">
        <v>246</v>
      </c>
      <c r="DU29" s="190">
        <v>224</v>
      </c>
      <c r="DV29" s="190">
        <v>403</v>
      </c>
      <c r="DW29" s="190">
        <v>298</v>
      </c>
      <c r="DX29" s="190">
        <v>196</v>
      </c>
      <c r="DY29" s="190">
        <v>368</v>
      </c>
      <c r="DZ29" s="190">
        <v>381</v>
      </c>
      <c r="EA29" s="190">
        <v>213</v>
      </c>
      <c r="EB29" s="190">
        <v>261</v>
      </c>
      <c r="EC29" s="190">
        <v>170</v>
      </c>
      <c r="ED29" s="190">
        <v>218</v>
      </c>
      <c r="EE29" s="190">
        <v>252</v>
      </c>
      <c r="EF29" s="190">
        <v>336</v>
      </c>
      <c r="EG29" s="190">
        <v>323</v>
      </c>
      <c r="EH29" s="190">
        <v>581</v>
      </c>
      <c r="EI29" s="190">
        <v>429</v>
      </c>
      <c r="EJ29" s="190">
        <v>246</v>
      </c>
      <c r="EK29" s="190">
        <v>242</v>
      </c>
      <c r="EL29" s="190">
        <v>206</v>
      </c>
      <c r="EM29" s="190">
        <v>195</v>
      </c>
      <c r="EN29" s="190">
        <v>176</v>
      </c>
      <c r="EO29" s="190">
        <v>140</v>
      </c>
      <c r="EP29" s="190">
        <v>157</v>
      </c>
      <c r="EQ29" s="190">
        <v>150</v>
      </c>
      <c r="ER29" s="190">
        <v>145</v>
      </c>
      <c r="ES29" s="190">
        <v>203</v>
      </c>
      <c r="ET29" s="190">
        <v>298</v>
      </c>
      <c r="EU29" s="190">
        <v>173</v>
      </c>
      <c r="EV29" s="254">
        <v>189</v>
      </c>
      <c r="EW29" s="254">
        <v>141</v>
      </c>
      <c r="EX29" s="254">
        <v>138</v>
      </c>
      <c r="EY29" s="254">
        <v>146</v>
      </c>
      <c r="EZ29" s="254">
        <v>95</v>
      </c>
      <c r="FA29" s="254">
        <v>58</v>
      </c>
      <c r="FB29" s="254">
        <v>106</v>
      </c>
      <c r="FC29" s="254">
        <v>97</v>
      </c>
      <c r="FD29" s="254">
        <v>96</v>
      </c>
      <c r="FE29" s="254">
        <v>141</v>
      </c>
      <c r="FF29" s="254">
        <v>264</v>
      </c>
      <c r="FG29" s="254">
        <v>219</v>
      </c>
      <c r="FH29" s="254">
        <v>178</v>
      </c>
      <c r="FI29" s="254">
        <v>94</v>
      </c>
      <c r="FJ29" s="254">
        <v>127</v>
      </c>
      <c r="FK29" s="254">
        <v>94</v>
      </c>
      <c r="FL29" s="254">
        <v>75</v>
      </c>
      <c r="FM29" s="254">
        <v>82</v>
      </c>
      <c r="FN29" s="254">
        <v>108</v>
      </c>
      <c r="FO29" s="254">
        <v>73</v>
      </c>
      <c r="FP29" s="254">
        <v>113</v>
      </c>
      <c r="FQ29" s="254">
        <v>110</v>
      </c>
      <c r="FR29" s="254">
        <v>297</v>
      </c>
      <c r="FS29" s="254">
        <v>203</v>
      </c>
    </row>
    <row r="30" spans="1:175" ht="15.75" x14ac:dyDescent="0.25">
      <c r="A30" s="215">
        <v>18</v>
      </c>
      <c r="B30" s="175" t="s">
        <v>111</v>
      </c>
      <c r="C30" s="219" t="s">
        <v>133</v>
      </c>
      <c r="D30" s="178"/>
      <c r="E30" s="190">
        <v>8718</v>
      </c>
      <c r="F30" s="190">
        <v>8851</v>
      </c>
      <c r="G30" s="190">
        <v>8742</v>
      </c>
      <c r="H30" s="190">
        <v>8675</v>
      </c>
      <c r="I30" s="190">
        <v>8721</v>
      </c>
      <c r="J30" s="190">
        <v>8567</v>
      </c>
      <c r="K30" s="190">
        <v>8330</v>
      </c>
      <c r="L30" s="190">
        <v>8350</v>
      </c>
      <c r="M30" s="190">
        <v>8463</v>
      </c>
      <c r="N30" s="190">
        <v>8576</v>
      </c>
      <c r="O30" s="190">
        <v>8563</v>
      </c>
      <c r="P30" s="190">
        <v>8516</v>
      </c>
      <c r="Q30" s="190">
        <v>8533</v>
      </c>
      <c r="R30" s="190">
        <v>8659</v>
      </c>
      <c r="S30" s="190">
        <v>8599</v>
      </c>
      <c r="T30" s="190">
        <v>8480</v>
      </c>
      <c r="U30" s="190">
        <v>8473</v>
      </c>
      <c r="V30" s="190">
        <v>8352</v>
      </c>
      <c r="W30" s="190">
        <v>8176</v>
      </c>
      <c r="X30" s="190">
        <v>8205</v>
      </c>
      <c r="Y30" s="190">
        <v>8143</v>
      </c>
      <c r="Z30" s="190">
        <v>8318</v>
      </c>
      <c r="AA30" s="190">
        <v>8379</v>
      </c>
      <c r="AB30" s="190">
        <v>8417</v>
      </c>
      <c r="AC30" s="190">
        <v>8550</v>
      </c>
      <c r="AD30" s="190">
        <v>8620</v>
      </c>
      <c r="AE30" s="190">
        <v>8543</v>
      </c>
      <c r="AF30" s="190">
        <v>8457</v>
      </c>
      <c r="AG30" s="190">
        <v>8335</v>
      </c>
      <c r="AH30" s="190">
        <v>8226</v>
      </c>
      <c r="AI30" s="191">
        <v>8084</v>
      </c>
      <c r="AJ30" s="192">
        <v>8193</v>
      </c>
      <c r="AK30" s="193">
        <v>8313</v>
      </c>
      <c r="AL30" s="193">
        <v>8434</v>
      </c>
      <c r="AM30" s="193">
        <v>8574</v>
      </c>
      <c r="AN30" s="193">
        <v>8648</v>
      </c>
      <c r="AO30" s="193">
        <v>8759</v>
      </c>
      <c r="AP30" s="193">
        <v>8862</v>
      </c>
      <c r="AQ30" s="193">
        <v>8873</v>
      </c>
      <c r="AR30" s="193">
        <v>8845</v>
      </c>
      <c r="AS30" s="193">
        <v>8828</v>
      </c>
      <c r="AT30" s="193">
        <v>8681</v>
      </c>
      <c r="AU30" s="193">
        <v>8612</v>
      </c>
      <c r="AV30" s="193">
        <v>8573</v>
      </c>
      <c r="AW30" s="193">
        <v>8517</v>
      </c>
      <c r="AX30" s="193">
        <v>8585</v>
      </c>
      <c r="AY30" s="193">
        <v>8606</v>
      </c>
      <c r="AZ30" s="193">
        <v>8707</v>
      </c>
      <c r="BA30" s="193">
        <v>8640</v>
      </c>
      <c r="BB30" s="193">
        <v>8665</v>
      </c>
      <c r="BC30" s="193">
        <v>8732</v>
      </c>
      <c r="BD30" s="193">
        <v>8755</v>
      </c>
      <c r="BE30" s="193">
        <v>8620</v>
      </c>
      <c r="BF30" s="193">
        <v>8690</v>
      </c>
      <c r="BG30" s="193">
        <v>8602</v>
      </c>
      <c r="BH30" s="193">
        <v>8616</v>
      </c>
      <c r="BI30" s="193">
        <v>8693</v>
      </c>
      <c r="BJ30" s="193">
        <v>8761</v>
      </c>
      <c r="BK30" s="193">
        <v>8891</v>
      </c>
      <c r="BL30" s="193">
        <v>9055</v>
      </c>
      <c r="BM30" s="193">
        <v>9092</v>
      </c>
      <c r="BN30" s="193">
        <v>9183</v>
      </c>
      <c r="BO30" s="193">
        <v>9171</v>
      </c>
      <c r="BP30" s="193">
        <v>9148</v>
      </c>
      <c r="BQ30" s="193">
        <v>9209</v>
      </c>
      <c r="BR30" s="193">
        <v>9164</v>
      </c>
      <c r="BS30" s="193">
        <v>9089</v>
      </c>
      <c r="BT30" s="193">
        <v>9154</v>
      </c>
      <c r="BU30" s="193">
        <v>9186</v>
      </c>
      <c r="BV30" s="193">
        <v>9239</v>
      </c>
      <c r="BW30" s="193">
        <v>9329</v>
      </c>
      <c r="BX30" s="193">
        <v>9230</v>
      </c>
      <c r="BY30" s="193">
        <v>9242</v>
      </c>
      <c r="BZ30" s="193">
        <v>9341</v>
      </c>
      <c r="CA30" s="193">
        <v>9372</v>
      </c>
      <c r="CB30" s="193">
        <v>9293</v>
      </c>
      <c r="CC30" s="193">
        <v>9395</v>
      </c>
      <c r="CD30" s="193">
        <v>9242</v>
      </c>
      <c r="CE30" s="193">
        <v>9052</v>
      </c>
      <c r="CF30" s="193">
        <v>9128</v>
      </c>
      <c r="CG30" s="193">
        <v>9079</v>
      </c>
      <c r="CH30" s="193">
        <v>9137</v>
      </c>
      <c r="CI30" s="193">
        <v>9173</v>
      </c>
      <c r="CJ30" s="193">
        <v>9063</v>
      </c>
      <c r="CK30" s="193">
        <v>9133</v>
      </c>
      <c r="CL30" s="193">
        <v>9255</v>
      </c>
      <c r="CM30" s="193">
        <v>9243</v>
      </c>
      <c r="CN30" s="193">
        <v>9157</v>
      </c>
      <c r="CO30" s="193">
        <v>9232</v>
      </c>
      <c r="CP30" s="193">
        <v>9088</v>
      </c>
      <c r="CQ30" s="193">
        <v>9006</v>
      </c>
      <c r="CR30" s="193">
        <v>9081</v>
      </c>
      <c r="CS30" s="193">
        <v>9094</v>
      </c>
      <c r="CT30" s="193">
        <v>9340</v>
      </c>
      <c r="CU30" s="193">
        <v>9335</v>
      </c>
      <c r="CV30" s="193">
        <v>9457</v>
      </c>
      <c r="CW30" s="193">
        <v>9786</v>
      </c>
      <c r="CX30" s="193">
        <v>9281</v>
      </c>
      <c r="CY30" s="193">
        <v>8914</v>
      </c>
      <c r="CZ30" s="193">
        <v>8765</v>
      </c>
      <c r="DA30" s="193">
        <v>8520</v>
      </c>
      <c r="DB30" s="193">
        <v>8215</v>
      </c>
      <c r="DC30" s="193">
        <v>8243</v>
      </c>
      <c r="DD30" s="193">
        <v>8148</v>
      </c>
      <c r="DE30" s="193">
        <v>7990</v>
      </c>
      <c r="DF30" s="193">
        <v>7996</v>
      </c>
      <c r="DG30" s="193">
        <v>7803</v>
      </c>
      <c r="DH30" s="193">
        <v>7815</v>
      </c>
      <c r="DI30" s="193">
        <v>7588</v>
      </c>
      <c r="DJ30" s="193">
        <v>7466</v>
      </c>
      <c r="DK30" s="193">
        <v>7302</v>
      </c>
      <c r="DL30" s="193">
        <v>7239</v>
      </c>
      <c r="DM30" s="193">
        <v>7224</v>
      </c>
      <c r="DN30" s="193">
        <v>7073</v>
      </c>
      <c r="DO30" s="193">
        <v>7192</v>
      </c>
      <c r="DP30" s="193">
        <v>7369</v>
      </c>
      <c r="DQ30" s="193">
        <v>7623</v>
      </c>
      <c r="DR30" s="193">
        <v>7760</v>
      </c>
      <c r="DS30" s="193">
        <v>7758</v>
      </c>
      <c r="DT30" s="193">
        <v>7951</v>
      </c>
      <c r="DU30" s="193">
        <v>7894</v>
      </c>
      <c r="DV30" s="193">
        <v>7898</v>
      </c>
      <c r="DW30" s="193">
        <v>7985</v>
      </c>
      <c r="DX30" s="193">
        <v>7981</v>
      </c>
      <c r="DY30" s="193">
        <v>7961</v>
      </c>
      <c r="DZ30" s="193">
        <v>8028</v>
      </c>
      <c r="EA30" s="193">
        <v>7908</v>
      </c>
      <c r="EB30" s="193">
        <v>7897</v>
      </c>
      <c r="EC30" s="193">
        <v>8001</v>
      </c>
      <c r="ED30" s="193">
        <v>8126</v>
      </c>
      <c r="EE30" s="193">
        <v>8133</v>
      </c>
      <c r="EF30" s="193">
        <v>8288</v>
      </c>
      <c r="EG30" s="193">
        <v>8285</v>
      </c>
      <c r="EH30" s="193">
        <v>8374</v>
      </c>
      <c r="EI30" s="193">
        <v>8451</v>
      </c>
      <c r="EJ30" s="193">
        <v>8521</v>
      </c>
      <c r="EK30" s="193">
        <v>8512</v>
      </c>
      <c r="EL30" s="193">
        <v>8577</v>
      </c>
      <c r="EM30" s="193">
        <v>8529</v>
      </c>
      <c r="EN30" s="193">
        <v>8708</v>
      </c>
      <c r="EO30" s="193">
        <v>8794</v>
      </c>
      <c r="EP30" s="193">
        <v>8940</v>
      </c>
      <c r="EQ30" s="193">
        <v>9080</v>
      </c>
      <c r="ER30" s="193">
        <v>9084</v>
      </c>
      <c r="ES30" s="193">
        <v>9159</v>
      </c>
      <c r="ET30" s="193">
        <v>9283</v>
      </c>
      <c r="EU30" s="193">
        <v>9418</v>
      </c>
      <c r="EV30" s="254">
        <v>9523</v>
      </c>
      <c r="EW30" s="254">
        <v>9823</v>
      </c>
      <c r="EX30" s="254">
        <v>9822</v>
      </c>
      <c r="EY30" s="254">
        <v>9880</v>
      </c>
      <c r="EZ30" s="254">
        <v>9968</v>
      </c>
      <c r="FA30" s="254">
        <v>9926</v>
      </c>
      <c r="FB30" s="254">
        <v>10163</v>
      </c>
      <c r="FC30" s="254">
        <v>10135</v>
      </c>
      <c r="FD30" s="254">
        <v>10148</v>
      </c>
      <c r="FE30" s="254">
        <v>10222</v>
      </c>
      <c r="FF30" s="254">
        <v>10447</v>
      </c>
      <c r="FG30" s="254">
        <v>10527</v>
      </c>
      <c r="FH30" s="254">
        <v>10690</v>
      </c>
      <c r="FI30" s="254">
        <v>10779</v>
      </c>
      <c r="FJ30" s="254">
        <v>10702</v>
      </c>
      <c r="FK30" s="254">
        <v>10731</v>
      </c>
      <c r="FL30" s="254">
        <v>10737</v>
      </c>
      <c r="FM30" s="254">
        <v>10665</v>
      </c>
      <c r="FN30" s="254">
        <v>10884</v>
      </c>
      <c r="FO30" s="254">
        <v>10805</v>
      </c>
      <c r="FP30" s="254">
        <v>10925</v>
      </c>
      <c r="FQ30" s="254">
        <v>10839</v>
      </c>
      <c r="FR30" s="254">
        <v>10827</v>
      </c>
      <c r="FS30" s="254">
        <v>10545</v>
      </c>
    </row>
    <row r="31" spans="1:175" ht="15.75" x14ac:dyDescent="0.25">
      <c r="A31" s="215">
        <v>19</v>
      </c>
      <c r="B31" s="176"/>
      <c r="C31" s="230" t="s">
        <v>84</v>
      </c>
      <c r="D31" s="194"/>
      <c r="E31" s="190">
        <v>500</v>
      </c>
      <c r="F31" s="190">
        <v>792</v>
      </c>
      <c r="G31" s="190">
        <v>610</v>
      </c>
      <c r="H31" s="190">
        <v>612</v>
      </c>
      <c r="I31" s="190">
        <v>673</v>
      </c>
      <c r="J31" s="190">
        <v>567</v>
      </c>
      <c r="K31" s="190">
        <v>618</v>
      </c>
      <c r="L31" s="190">
        <v>707</v>
      </c>
      <c r="M31" s="190">
        <v>691</v>
      </c>
      <c r="N31" s="190">
        <v>632</v>
      </c>
      <c r="O31" s="190">
        <v>631</v>
      </c>
      <c r="P31" s="190">
        <v>539</v>
      </c>
      <c r="Q31" s="190">
        <v>588</v>
      </c>
      <c r="R31" s="190">
        <v>670</v>
      </c>
      <c r="S31" s="190">
        <v>579</v>
      </c>
      <c r="T31" s="190">
        <v>526</v>
      </c>
      <c r="U31" s="190">
        <v>597</v>
      </c>
      <c r="V31" s="190">
        <v>553</v>
      </c>
      <c r="W31" s="190">
        <v>562</v>
      </c>
      <c r="X31" s="190">
        <v>583</v>
      </c>
      <c r="Y31" s="190">
        <v>570</v>
      </c>
      <c r="Z31" s="190">
        <v>659</v>
      </c>
      <c r="AA31" s="190">
        <v>566</v>
      </c>
      <c r="AB31" s="190">
        <v>549</v>
      </c>
      <c r="AC31" s="190">
        <v>565</v>
      </c>
      <c r="AD31" s="190">
        <v>594</v>
      </c>
      <c r="AE31" s="190">
        <v>536</v>
      </c>
      <c r="AF31" s="190">
        <v>497</v>
      </c>
      <c r="AG31" s="190">
        <v>495</v>
      </c>
      <c r="AH31" s="190">
        <v>531</v>
      </c>
      <c r="AI31" s="191">
        <v>569</v>
      </c>
      <c r="AJ31" s="192">
        <v>724</v>
      </c>
      <c r="AK31" s="193">
        <v>622</v>
      </c>
      <c r="AL31" s="193">
        <v>639</v>
      </c>
      <c r="AM31" s="193">
        <v>691</v>
      </c>
      <c r="AN31" s="193">
        <v>582</v>
      </c>
      <c r="AO31" s="193">
        <v>565</v>
      </c>
      <c r="AP31" s="193">
        <v>578</v>
      </c>
      <c r="AQ31" s="193">
        <v>706</v>
      </c>
      <c r="AR31" s="193">
        <v>534</v>
      </c>
      <c r="AS31" s="193">
        <v>542</v>
      </c>
      <c r="AT31" s="193">
        <v>582</v>
      </c>
      <c r="AU31" s="193">
        <v>552</v>
      </c>
      <c r="AV31" s="193">
        <v>563</v>
      </c>
      <c r="AW31" s="193">
        <v>544</v>
      </c>
      <c r="AX31" s="193">
        <v>618</v>
      </c>
      <c r="AY31" s="193">
        <v>576</v>
      </c>
      <c r="AZ31" s="193">
        <v>620</v>
      </c>
      <c r="BA31" s="193">
        <v>578</v>
      </c>
      <c r="BB31" s="193">
        <v>649</v>
      </c>
      <c r="BC31" s="193">
        <v>625</v>
      </c>
      <c r="BD31" s="193">
        <v>562</v>
      </c>
      <c r="BE31" s="193">
        <v>568</v>
      </c>
      <c r="BF31" s="193">
        <v>650</v>
      </c>
      <c r="BG31" s="193">
        <v>955</v>
      </c>
      <c r="BH31" s="193">
        <v>857</v>
      </c>
      <c r="BI31" s="193">
        <v>599</v>
      </c>
      <c r="BJ31" s="193">
        <v>662</v>
      </c>
      <c r="BK31" s="193">
        <v>672</v>
      </c>
      <c r="BL31" s="193">
        <v>713</v>
      </c>
      <c r="BM31" s="193">
        <v>515</v>
      </c>
      <c r="BN31" s="193">
        <v>679</v>
      </c>
      <c r="BO31" s="193">
        <v>836</v>
      </c>
      <c r="BP31" s="193">
        <v>563</v>
      </c>
      <c r="BQ31" s="193">
        <v>1047</v>
      </c>
      <c r="BR31" s="193">
        <v>627</v>
      </c>
      <c r="BS31" s="193">
        <v>637</v>
      </c>
      <c r="BT31" s="193">
        <v>685</v>
      </c>
      <c r="BU31" s="193">
        <v>677</v>
      </c>
      <c r="BV31" s="193">
        <v>768</v>
      </c>
      <c r="BW31" s="193">
        <v>761</v>
      </c>
      <c r="BX31" s="193">
        <v>720</v>
      </c>
      <c r="BY31" s="193">
        <v>944</v>
      </c>
      <c r="BZ31" s="193">
        <v>1056</v>
      </c>
      <c r="CA31" s="193">
        <v>751</v>
      </c>
      <c r="CB31" s="193">
        <v>1108</v>
      </c>
      <c r="CC31" s="193">
        <v>712</v>
      </c>
      <c r="CD31" s="193">
        <v>730</v>
      </c>
      <c r="CE31" s="193">
        <v>875</v>
      </c>
      <c r="CF31" s="193">
        <v>810</v>
      </c>
      <c r="CG31" s="193">
        <v>642</v>
      </c>
      <c r="CH31" s="193">
        <v>910</v>
      </c>
      <c r="CI31" s="193">
        <v>723</v>
      </c>
      <c r="CJ31" s="193">
        <v>554</v>
      </c>
      <c r="CK31" s="193">
        <v>613</v>
      </c>
      <c r="CL31" s="193">
        <v>822</v>
      </c>
      <c r="CM31" s="193">
        <v>584</v>
      </c>
      <c r="CN31" s="193">
        <v>777</v>
      </c>
      <c r="CO31" s="193">
        <v>713</v>
      </c>
      <c r="CP31" s="193">
        <v>666</v>
      </c>
      <c r="CQ31" s="193">
        <v>2106</v>
      </c>
      <c r="CR31" s="193">
        <v>2168</v>
      </c>
      <c r="CS31" s="193">
        <v>624</v>
      </c>
      <c r="CT31" s="193">
        <v>801</v>
      </c>
      <c r="CU31" s="193">
        <v>631</v>
      </c>
      <c r="CV31" s="193">
        <v>802</v>
      </c>
      <c r="CW31" s="193">
        <v>634</v>
      </c>
      <c r="CX31" s="193">
        <v>256</v>
      </c>
      <c r="CY31" s="193">
        <v>238</v>
      </c>
      <c r="CZ31" s="193">
        <v>309</v>
      </c>
      <c r="DA31" s="193">
        <v>235</v>
      </c>
      <c r="DB31" s="193">
        <v>336</v>
      </c>
      <c r="DC31" s="193">
        <v>506</v>
      </c>
      <c r="DD31" s="193">
        <v>665</v>
      </c>
      <c r="DE31" s="193">
        <v>379</v>
      </c>
      <c r="DF31" s="193">
        <v>493</v>
      </c>
      <c r="DG31" s="193">
        <v>357</v>
      </c>
      <c r="DH31" s="193">
        <v>523</v>
      </c>
      <c r="DI31" s="193">
        <v>424</v>
      </c>
      <c r="DJ31" s="193">
        <v>506</v>
      </c>
      <c r="DK31" s="193">
        <v>388</v>
      </c>
      <c r="DL31" s="193">
        <v>596</v>
      </c>
      <c r="DM31" s="193">
        <v>357</v>
      </c>
      <c r="DN31" s="193">
        <v>384</v>
      </c>
      <c r="DO31" s="193">
        <v>541</v>
      </c>
      <c r="DP31" s="193">
        <v>701</v>
      </c>
      <c r="DQ31" s="193">
        <v>788</v>
      </c>
      <c r="DR31" s="193">
        <v>624</v>
      </c>
      <c r="DS31" s="193">
        <v>628</v>
      </c>
      <c r="DT31" s="193">
        <v>680</v>
      </c>
      <c r="DU31" s="193">
        <v>524</v>
      </c>
      <c r="DV31" s="193">
        <v>507</v>
      </c>
      <c r="DW31" s="193">
        <v>604</v>
      </c>
      <c r="DX31" s="193">
        <v>453</v>
      </c>
      <c r="DY31" s="193">
        <v>560</v>
      </c>
      <c r="DZ31" s="193">
        <v>573</v>
      </c>
      <c r="EA31" s="193">
        <v>468</v>
      </c>
      <c r="EB31" s="193">
        <v>550</v>
      </c>
      <c r="EC31" s="193">
        <v>652</v>
      </c>
      <c r="ED31" s="193">
        <v>1010</v>
      </c>
      <c r="EE31" s="193">
        <v>567</v>
      </c>
      <c r="EF31" s="193">
        <v>720</v>
      </c>
      <c r="EG31" s="193">
        <v>507</v>
      </c>
      <c r="EH31" s="193">
        <v>734</v>
      </c>
      <c r="EI31" s="193">
        <v>798</v>
      </c>
      <c r="EJ31" s="193">
        <v>718</v>
      </c>
      <c r="EK31" s="193">
        <v>704</v>
      </c>
      <c r="EL31" s="193">
        <v>932</v>
      </c>
      <c r="EM31" s="193">
        <v>961</v>
      </c>
      <c r="EN31" s="193">
        <v>757</v>
      </c>
      <c r="EO31" s="193">
        <v>604</v>
      </c>
      <c r="EP31" s="193">
        <v>912</v>
      </c>
      <c r="EQ31" s="193">
        <v>955</v>
      </c>
      <c r="ER31" s="193">
        <v>690</v>
      </c>
      <c r="ES31" s="193">
        <v>750</v>
      </c>
      <c r="ET31" s="193">
        <v>899</v>
      </c>
      <c r="EU31" s="193">
        <v>795</v>
      </c>
      <c r="EV31" s="254">
        <v>893</v>
      </c>
      <c r="EW31" s="254">
        <v>1199</v>
      </c>
      <c r="EX31" s="254">
        <v>803</v>
      </c>
      <c r="EY31" s="254">
        <v>905</v>
      </c>
      <c r="EZ31" s="254">
        <v>784</v>
      </c>
      <c r="FA31" s="254">
        <v>620</v>
      </c>
      <c r="FB31" s="254">
        <v>1026</v>
      </c>
      <c r="FC31" s="254">
        <v>849</v>
      </c>
      <c r="FD31" s="254">
        <v>804</v>
      </c>
      <c r="FE31" s="254">
        <v>905</v>
      </c>
      <c r="FF31" s="254">
        <v>914</v>
      </c>
      <c r="FG31" s="254">
        <v>820</v>
      </c>
      <c r="FH31" s="254">
        <v>900</v>
      </c>
      <c r="FI31" s="254">
        <v>880</v>
      </c>
      <c r="FJ31" s="254">
        <v>913</v>
      </c>
      <c r="FK31" s="254">
        <v>984</v>
      </c>
      <c r="FL31" s="254">
        <v>778</v>
      </c>
      <c r="FM31" s="254">
        <v>841</v>
      </c>
      <c r="FN31" s="254">
        <v>881</v>
      </c>
      <c r="FO31" s="254">
        <v>800</v>
      </c>
      <c r="FP31" s="254">
        <v>0</v>
      </c>
      <c r="FQ31" s="254">
        <v>585</v>
      </c>
      <c r="FR31" s="254">
        <v>678</v>
      </c>
      <c r="FS31" s="254">
        <v>503</v>
      </c>
    </row>
    <row r="32" spans="1:175" ht="16.5" thickBot="1" x14ac:dyDescent="0.3">
      <c r="A32" s="215">
        <v>20</v>
      </c>
      <c r="B32" s="183"/>
      <c r="C32" s="231" t="s">
        <v>85</v>
      </c>
      <c r="D32" s="180"/>
      <c r="E32" s="190">
        <v>657</v>
      </c>
      <c r="F32" s="190">
        <v>665</v>
      </c>
      <c r="G32" s="190">
        <v>718</v>
      </c>
      <c r="H32" s="190">
        <v>678</v>
      </c>
      <c r="I32" s="190">
        <v>635</v>
      </c>
      <c r="J32" s="190">
        <v>724</v>
      </c>
      <c r="K32" s="190">
        <v>855</v>
      </c>
      <c r="L32" s="190">
        <v>669</v>
      </c>
      <c r="M32" s="190">
        <v>575</v>
      </c>
      <c r="N32" s="190">
        <v>528</v>
      </c>
      <c r="O32" s="190">
        <v>644</v>
      </c>
      <c r="P32" s="190">
        <v>604</v>
      </c>
      <c r="Q32" s="190">
        <v>581</v>
      </c>
      <c r="R32" s="190">
        <v>539</v>
      </c>
      <c r="S32" s="190">
        <v>623</v>
      </c>
      <c r="T32" s="190">
        <v>633</v>
      </c>
      <c r="U32" s="190">
        <v>602</v>
      </c>
      <c r="V32" s="190">
        <v>668</v>
      </c>
      <c r="W32" s="190">
        <v>731</v>
      </c>
      <c r="X32" s="190">
        <v>571</v>
      </c>
      <c r="Y32" s="190">
        <v>625</v>
      </c>
      <c r="Z32" s="190">
        <v>479</v>
      </c>
      <c r="AA32" s="190">
        <v>516</v>
      </c>
      <c r="AB32" s="190">
        <v>527</v>
      </c>
      <c r="AC32" s="190">
        <v>444</v>
      </c>
      <c r="AD32" s="190">
        <v>542</v>
      </c>
      <c r="AE32" s="190">
        <v>610</v>
      </c>
      <c r="AF32" s="190">
        <v>596</v>
      </c>
      <c r="AG32" s="190">
        <v>603</v>
      </c>
      <c r="AH32" s="190">
        <v>636</v>
      </c>
      <c r="AI32" s="191">
        <v>704</v>
      </c>
      <c r="AJ32" s="192">
        <v>615</v>
      </c>
      <c r="AK32" s="193">
        <v>502</v>
      </c>
      <c r="AL32" s="193">
        <v>518</v>
      </c>
      <c r="AM32" s="193">
        <v>551</v>
      </c>
      <c r="AN32" s="193">
        <v>508</v>
      </c>
      <c r="AO32" s="193">
        <v>454</v>
      </c>
      <c r="AP32" s="193">
        <v>475</v>
      </c>
      <c r="AQ32" s="193">
        <v>695</v>
      </c>
      <c r="AR32" s="193">
        <v>562</v>
      </c>
      <c r="AS32" s="193">
        <v>559</v>
      </c>
      <c r="AT32" s="193">
        <v>729</v>
      </c>
      <c r="AU32" s="193">
        <v>621</v>
      </c>
      <c r="AV32" s="193">
        <v>602</v>
      </c>
      <c r="AW32" s="193">
        <v>600</v>
      </c>
      <c r="AX32" s="193">
        <v>550</v>
      </c>
      <c r="AY32" s="193">
        <v>555</v>
      </c>
      <c r="AZ32" s="193">
        <v>519</v>
      </c>
      <c r="BA32" s="193">
        <v>645</v>
      </c>
      <c r="BB32" s="193">
        <v>624</v>
      </c>
      <c r="BC32" s="193">
        <v>558</v>
      </c>
      <c r="BD32" s="193">
        <v>539</v>
      </c>
      <c r="BE32" s="193">
        <v>703</v>
      </c>
      <c r="BF32" s="193">
        <v>580</v>
      </c>
      <c r="BG32" s="193">
        <v>1043</v>
      </c>
      <c r="BH32" s="193">
        <v>843</v>
      </c>
      <c r="BI32" s="193">
        <v>522</v>
      </c>
      <c r="BJ32" s="193">
        <v>594</v>
      </c>
      <c r="BK32" s="193">
        <v>542</v>
      </c>
      <c r="BL32" s="193">
        <v>549</v>
      </c>
      <c r="BM32" s="193">
        <v>478</v>
      </c>
      <c r="BN32" s="193">
        <v>588</v>
      </c>
      <c r="BO32" s="193">
        <v>848</v>
      </c>
      <c r="BP32" s="193">
        <v>586</v>
      </c>
      <c r="BQ32" s="193">
        <v>986</v>
      </c>
      <c r="BR32" s="193">
        <v>672</v>
      </c>
      <c r="BS32" s="193">
        <v>712</v>
      </c>
      <c r="BT32" s="193">
        <v>620</v>
      </c>
      <c r="BU32" s="193">
        <v>645</v>
      </c>
      <c r="BV32" s="193">
        <v>715</v>
      </c>
      <c r="BW32" s="193">
        <v>671</v>
      </c>
      <c r="BX32" s="193">
        <v>819</v>
      </c>
      <c r="BY32" s="193">
        <v>932</v>
      </c>
      <c r="BZ32" s="193">
        <v>957</v>
      </c>
      <c r="CA32" s="193">
        <v>720</v>
      </c>
      <c r="CB32" s="193">
        <v>1187</v>
      </c>
      <c r="CC32" s="193">
        <v>610</v>
      </c>
      <c r="CD32" s="193">
        <v>883</v>
      </c>
      <c r="CE32" s="193">
        <v>1065</v>
      </c>
      <c r="CF32" s="193">
        <v>734</v>
      </c>
      <c r="CG32" s="193">
        <v>691</v>
      </c>
      <c r="CH32" s="193">
        <v>852</v>
      </c>
      <c r="CI32" s="193">
        <v>687</v>
      </c>
      <c r="CJ32" s="193">
        <v>664</v>
      </c>
      <c r="CK32" s="193">
        <v>543</v>
      </c>
      <c r="CL32" s="193">
        <v>700</v>
      </c>
      <c r="CM32" s="193">
        <v>596</v>
      </c>
      <c r="CN32" s="193">
        <v>863</v>
      </c>
      <c r="CO32" s="193">
        <v>638</v>
      </c>
      <c r="CP32" s="193">
        <v>810</v>
      </c>
      <c r="CQ32" s="193">
        <v>2188</v>
      </c>
      <c r="CR32" s="193">
        <v>2093</v>
      </c>
      <c r="CS32" s="193">
        <v>611</v>
      </c>
      <c r="CT32" s="193">
        <v>555</v>
      </c>
      <c r="CU32" s="193">
        <v>636</v>
      </c>
      <c r="CV32" s="193">
        <v>680</v>
      </c>
      <c r="CW32" s="193">
        <v>305</v>
      </c>
      <c r="CX32" s="193">
        <v>761</v>
      </c>
      <c r="CY32" s="193">
        <v>605</v>
      </c>
      <c r="CZ32" s="193">
        <v>458</v>
      </c>
      <c r="DA32" s="193">
        <v>480</v>
      </c>
      <c r="DB32" s="193">
        <v>641</v>
      </c>
      <c r="DC32" s="193">
        <v>478</v>
      </c>
      <c r="DD32" s="193">
        <v>760</v>
      </c>
      <c r="DE32" s="193">
        <v>537</v>
      </c>
      <c r="DF32" s="193">
        <v>487</v>
      </c>
      <c r="DG32" s="193">
        <v>550</v>
      </c>
      <c r="DH32" s="193">
        <v>511</v>
      </c>
      <c r="DI32" s="193">
        <v>651</v>
      </c>
      <c r="DJ32" s="193">
        <v>628</v>
      </c>
      <c r="DK32" s="193">
        <v>552</v>
      </c>
      <c r="DL32" s="193">
        <v>659</v>
      </c>
      <c r="DM32" s="193">
        <v>372</v>
      </c>
      <c r="DN32" s="193">
        <v>535</v>
      </c>
      <c r="DO32" s="193">
        <v>422</v>
      </c>
      <c r="DP32" s="193">
        <v>524</v>
      </c>
      <c r="DQ32" s="193">
        <v>534</v>
      </c>
      <c r="DR32" s="193">
        <v>487</v>
      </c>
      <c r="DS32" s="193">
        <v>630</v>
      </c>
      <c r="DT32" s="193">
        <v>487</v>
      </c>
      <c r="DU32" s="193">
        <v>581</v>
      </c>
      <c r="DV32" s="193">
        <v>503</v>
      </c>
      <c r="DW32" s="193">
        <v>517</v>
      </c>
      <c r="DX32" s="193">
        <v>457</v>
      </c>
      <c r="DY32" s="193">
        <v>580</v>
      </c>
      <c r="DZ32" s="193">
        <v>506</v>
      </c>
      <c r="EA32" s="193">
        <v>588</v>
      </c>
      <c r="EB32" s="193">
        <v>561</v>
      </c>
      <c r="EC32" s="193">
        <v>548</v>
      </c>
      <c r="ED32" s="193">
        <v>885</v>
      </c>
      <c r="EE32" s="193">
        <v>560</v>
      </c>
      <c r="EF32" s="193">
        <v>565</v>
      </c>
      <c r="EG32" s="193">
        <v>510</v>
      </c>
      <c r="EH32" s="193">
        <v>645</v>
      </c>
      <c r="EI32" s="193">
        <v>721</v>
      </c>
      <c r="EJ32" s="193">
        <v>648</v>
      </c>
      <c r="EK32" s="193">
        <v>713</v>
      </c>
      <c r="EL32" s="193">
        <v>867</v>
      </c>
      <c r="EM32" s="193">
        <v>1009</v>
      </c>
      <c r="EN32" s="193">
        <v>578</v>
      </c>
      <c r="EO32" s="193">
        <v>518</v>
      </c>
      <c r="EP32" s="193">
        <v>766</v>
      </c>
      <c r="EQ32" s="193">
        <v>815</v>
      </c>
      <c r="ER32" s="193">
        <v>686</v>
      </c>
      <c r="ES32" s="193">
        <v>675</v>
      </c>
      <c r="ET32" s="193">
        <v>775</v>
      </c>
      <c r="EU32" s="193">
        <v>660</v>
      </c>
      <c r="EV32" s="254">
        <v>788</v>
      </c>
      <c r="EW32" s="254">
        <v>899</v>
      </c>
      <c r="EX32" s="254">
        <v>804</v>
      </c>
      <c r="EY32" s="254">
        <v>847</v>
      </c>
      <c r="EZ32" s="254">
        <v>696</v>
      </c>
      <c r="FA32" s="254">
        <v>662</v>
      </c>
      <c r="FB32" s="254">
        <v>789</v>
      </c>
      <c r="FC32" s="254">
        <v>877</v>
      </c>
      <c r="FD32" s="254">
        <v>791</v>
      </c>
      <c r="FE32" s="254">
        <v>831</v>
      </c>
      <c r="FF32" s="254">
        <v>689</v>
      </c>
      <c r="FG32" s="254">
        <v>740</v>
      </c>
      <c r="FH32" s="254">
        <v>737</v>
      </c>
      <c r="FI32" s="254">
        <v>791</v>
      </c>
      <c r="FJ32" s="254">
        <v>990</v>
      </c>
      <c r="FK32" s="254">
        <v>955</v>
      </c>
      <c r="FL32" s="254">
        <v>772</v>
      </c>
      <c r="FM32" s="254">
        <v>913</v>
      </c>
      <c r="FN32" s="254">
        <v>662</v>
      </c>
      <c r="FO32" s="254">
        <v>879</v>
      </c>
      <c r="FP32" s="254">
        <v>0</v>
      </c>
      <c r="FQ32" s="254">
        <v>678</v>
      </c>
      <c r="FR32" s="254">
        <v>683</v>
      </c>
      <c r="FS32" s="254">
        <v>798</v>
      </c>
    </row>
    <row r="33" spans="3:175" ht="15.75" x14ac:dyDescent="0.25">
      <c r="C33" s="210"/>
      <c r="D33" s="210"/>
      <c r="E33" s="210" t="s">
        <v>101</v>
      </c>
      <c r="F33" s="211"/>
      <c r="G33" s="211"/>
      <c r="H33" s="211"/>
      <c r="I33" s="211"/>
      <c r="J33" s="211"/>
      <c r="K33" s="211"/>
      <c r="L33" s="211"/>
      <c r="M33" s="211"/>
      <c r="N33" s="211"/>
      <c r="O33" s="211"/>
      <c r="P33" s="211"/>
      <c r="Q33" s="210" t="s">
        <v>101</v>
      </c>
      <c r="R33" s="236"/>
      <c r="S33" s="236"/>
      <c r="T33" s="236"/>
      <c r="U33" s="236"/>
      <c r="V33" s="236"/>
      <c r="W33" s="236"/>
      <c r="X33" s="236"/>
      <c r="Y33" s="236"/>
      <c r="Z33" s="236"/>
      <c r="AA33" s="236"/>
      <c r="AB33" s="236"/>
      <c r="AC33" s="210" t="s">
        <v>101</v>
      </c>
      <c r="AD33" s="236"/>
      <c r="AE33" s="236"/>
      <c r="AF33" s="236"/>
      <c r="AG33" s="236"/>
      <c r="AH33" s="236"/>
      <c r="AI33" s="236"/>
      <c r="AJ33" s="237"/>
      <c r="AK33" s="236"/>
      <c r="AL33" s="236"/>
      <c r="AM33" s="236"/>
      <c r="AN33" s="236"/>
      <c r="AO33" s="210" t="s">
        <v>101</v>
      </c>
      <c r="AP33" s="236"/>
      <c r="AQ33" s="236"/>
      <c r="AR33" s="236"/>
      <c r="AS33" s="236"/>
      <c r="AT33" s="236"/>
      <c r="AU33" s="236"/>
      <c r="AV33" s="236"/>
      <c r="AW33" s="236"/>
      <c r="AX33" s="236"/>
      <c r="AY33" s="236"/>
      <c r="AZ33" s="236"/>
      <c r="BA33" s="210" t="s">
        <v>101</v>
      </c>
      <c r="BB33" s="235"/>
      <c r="BC33" s="235"/>
      <c r="BD33" s="235"/>
      <c r="BE33" s="235"/>
      <c r="BF33" s="235"/>
      <c r="BG33" s="235"/>
      <c r="BH33" s="235"/>
      <c r="BI33" s="235"/>
      <c r="BJ33" s="235"/>
      <c r="BK33" s="235"/>
      <c r="BL33" s="235"/>
      <c r="BM33" s="210" t="s">
        <v>101</v>
      </c>
      <c r="BN33" s="235"/>
      <c r="BO33" s="235"/>
      <c r="BP33" s="235"/>
      <c r="BQ33" s="235"/>
      <c r="BR33" s="235"/>
      <c r="BS33" s="235"/>
      <c r="BT33" s="235"/>
      <c r="BU33" s="235"/>
      <c r="BV33" s="235"/>
      <c r="BW33" s="235"/>
      <c r="BX33" s="235"/>
      <c r="BY33" s="235"/>
      <c r="BZ33" s="235"/>
      <c r="CA33" s="235"/>
      <c r="CB33" s="235"/>
      <c r="CC33" s="235"/>
      <c r="CD33" s="235"/>
      <c r="CE33" s="235"/>
      <c r="CF33" s="235"/>
      <c r="CG33" s="235"/>
      <c r="CH33" s="235"/>
      <c r="CI33" s="235"/>
      <c r="CJ33" s="235"/>
      <c r="CK33" s="235"/>
      <c r="CL33" s="235"/>
      <c r="CM33" s="235"/>
      <c r="CN33" s="235"/>
      <c r="CO33" s="235"/>
      <c r="CP33" s="235"/>
      <c r="CQ33" s="235"/>
      <c r="CR33" s="235"/>
      <c r="CS33" s="235"/>
      <c r="CT33" s="235"/>
      <c r="CU33" s="235"/>
      <c r="CV33" s="235"/>
      <c r="CW33" s="235"/>
      <c r="CX33" s="235"/>
      <c r="CY33" s="235"/>
      <c r="CZ33" s="235"/>
      <c r="DA33" s="235"/>
      <c r="DB33" s="235"/>
      <c r="DC33" s="235"/>
      <c r="DD33" s="235"/>
      <c r="DE33" s="235"/>
      <c r="DF33" s="235"/>
      <c r="DG33" s="235"/>
      <c r="DH33" s="235"/>
      <c r="DI33" s="235"/>
      <c r="DJ33" s="235"/>
      <c r="DK33" s="235"/>
      <c r="DL33" s="235"/>
      <c r="DM33" s="235"/>
      <c r="DN33" s="235"/>
      <c r="DO33" s="235"/>
      <c r="DP33" s="235"/>
      <c r="DQ33" s="235"/>
      <c r="DR33" s="235"/>
      <c r="DS33" s="235"/>
      <c r="DT33" s="235"/>
      <c r="DU33" s="235"/>
      <c r="DV33" s="235"/>
      <c r="DW33" s="235"/>
      <c r="DX33" s="235"/>
      <c r="DY33" s="235"/>
      <c r="DZ33" s="235"/>
      <c r="EA33" s="235"/>
      <c r="EB33" s="235"/>
      <c r="EC33" s="235"/>
      <c r="ED33" s="235"/>
      <c r="EE33" s="235"/>
      <c r="EF33" s="235"/>
      <c r="EG33" s="235"/>
      <c r="EH33" s="235"/>
      <c r="EI33" s="235"/>
      <c r="EJ33" s="235"/>
      <c r="EK33" s="235"/>
      <c r="EL33" s="235"/>
      <c r="EM33" s="235"/>
      <c r="EN33" s="235"/>
      <c r="EO33" s="235"/>
      <c r="EP33" s="235"/>
      <c r="EQ33" s="235"/>
      <c r="ER33" s="235"/>
      <c r="ES33" s="235"/>
      <c r="ET33" s="235"/>
      <c r="EU33" s="235"/>
      <c r="EV33" s="235"/>
      <c r="EW33" s="235"/>
      <c r="EX33" s="235"/>
      <c r="EY33" s="235"/>
      <c r="EZ33" s="235"/>
      <c r="FA33" s="235"/>
      <c r="FB33" s="235"/>
      <c r="FC33" s="235"/>
      <c r="FD33" s="235"/>
      <c r="FE33" s="235"/>
      <c r="FF33" s="235"/>
      <c r="FG33" s="235"/>
      <c r="FH33" s="235"/>
      <c r="FI33" s="235"/>
      <c r="FJ33" s="235"/>
      <c r="FK33" s="235"/>
      <c r="FL33" s="235"/>
      <c r="FM33" s="235"/>
      <c r="FN33" s="235"/>
      <c r="FO33" s="235"/>
      <c r="FP33" s="235"/>
      <c r="FQ33" s="235"/>
      <c r="FR33" s="235"/>
      <c r="FS33" s="235"/>
    </row>
    <row r="34" spans="3:175" ht="15.75" x14ac:dyDescent="0.25">
      <c r="C34" s="210"/>
      <c r="D34" s="210"/>
      <c r="E34" s="210" t="s">
        <v>134</v>
      </c>
      <c r="F34" s="211"/>
      <c r="G34" s="211"/>
      <c r="H34" s="211"/>
      <c r="I34" s="211"/>
      <c r="J34" s="211"/>
      <c r="K34" s="211"/>
      <c r="L34" s="211"/>
      <c r="M34" s="211"/>
      <c r="N34" s="211"/>
      <c r="O34" s="211"/>
      <c r="P34" s="211"/>
      <c r="Q34" s="210" t="s">
        <v>134</v>
      </c>
      <c r="R34" s="236"/>
      <c r="S34" s="236"/>
      <c r="T34" s="236"/>
      <c r="U34" s="236"/>
      <c r="V34" s="236"/>
      <c r="W34" s="236"/>
      <c r="X34" s="236"/>
      <c r="Y34" s="236"/>
      <c r="Z34" s="236"/>
      <c r="AA34" s="236"/>
      <c r="AB34" s="236"/>
      <c r="AC34" s="210" t="s">
        <v>134</v>
      </c>
      <c r="AD34" s="236"/>
      <c r="AE34" s="236"/>
      <c r="AF34" s="236"/>
      <c r="AG34" s="236"/>
      <c r="AH34" s="236"/>
      <c r="AI34" s="236"/>
      <c r="AJ34" s="237"/>
      <c r="AK34" s="236"/>
      <c r="AL34" s="236"/>
      <c r="AM34" s="236"/>
      <c r="AN34" s="236"/>
      <c r="AO34" s="210" t="s">
        <v>134</v>
      </c>
      <c r="AP34" s="236"/>
      <c r="AQ34" s="236"/>
      <c r="AR34" s="236"/>
      <c r="AS34" s="236"/>
      <c r="AT34" s="236"/>
      <c r="AU34" s="236"/>
      <c r="AV34" s="236"/>
      <c r="AW34" s="236"/>
      <c r="AX34" s="236"/>
      <c r="AY34" s="236"/>
      <c r="AZ34" s="236"/>
      <c r="BA34" s="210" t="s">
        <v>134</v>
      </c>
      <c r="BB34" s="235"/>
      <c r="BC34" s="235"/>
      <c r="BD34" s="235"/>
      <c r="BE34" s="235"/>
      <c r="BF34" s="235"/>
      <c r="BG34" s="235"/>
      <c r="BH34" s="235"/>
      <c r="BI34" s="235"/>
      <c r="BJ34" s="235"/>
      <c r="BK34" s="235"/>
      <c r="BL34" s="235"/>
      <c r="BM34" s="210" t="s">
        <v>134</v>
      </c>
      <c r="BN34" s="235"/>
      <c r="BO34" s="235"/>
      <c r="BP34" s="235"/>
      <c r="BQ34" s="235"/>
      <c r="BR34" s="235"/>
      <c r="BS34" s="235"/>
      <c r="BT34" s="235"/>
      <c r="BU34" s="235"/>
      <c r="BV34" s="235"/>
      <c r="BW34" s="235"/>
      <c r="BX34" s="235"/>
      <c r="BY34" s="235"/>
      <c r="BZ34" s="235"/>
      <c r="CA34" s="235"/>
      <c r="CB34" s="235"/>
      <c r="CC34" s="235"/>
      <c r="CD34" s="235"/>
      <c r="CE34" s="235"/>
      <c r="CF34" s="235"/>
      <c r="CG34" s="235"/>
      <c r="CH34" s="235"/>
      <c r="CI34" s="235"/>
      <c r="CJ34" s="235"/>
      <c r="CK34" s="235"/>
      <c r="CL34" s="235"/>
      <c r="CM34" s="235"/>
      <c r="CN34" s="235"/>
      <c r="CO34" s="235"/>
      <c r="CP34" s="235"/>
      <c r="CQ34" s="235"/>
      <c r="CR34" s="235"/>
      <c r="CS34" s="235"/>
      <c r="CT34" s="235"/>
      <c r="CU34" s="235"/>
      <c r="CV34" s="235"/>
      <c r="CW34" s="235"/>
      <c r="CX34" s="235"/>
      <c r="CY34" s="235"/>
      <c r="CZ34" s="235"/>
      <c r="DA34" s="235"/>
      <c r="DB34" s="235"/>
      <c r="DC34" s="235"/>
      <c r="DD34" s="235"/>
      <c r="DE34" s="235"/>
      <c r="DF34" s="235"/>
      <c r="DG34" s="235"/>
      <c r="DH34" s="235"/>
      <c r="DI34" s="235"/>
      <c r="DJ34" s="235"/>
      <c r="DK34" s="235"/>
      <c r="DL34" s="235"/>
      <c r="DM34" s="235"/>
      <c r="DN34" s="235"/>
      <c r="DO34" s="235"/>
      <c r="DP34" s="235"/>
      <c r="DQ34" s="235"/>
      <c r="DR34" s="235"/>
      <c r="DS34" s="235"/>
      <c r="DT34" s="235"/>
      <c r="DU34" s="235"/>
      <c r="DV34" s="235"/>
      <c r="DW34" s="235"/>
      <c r="DX34" s="235"/>
      <c r="DY34" s="235"/>
      <c r="DZ34" s="235"/>
      <c r="EA34" s="235"/>
      <c r="EB34" s="235"/>
      <c r="EC34" s="235"/>
      <c r="ED34" s="235"/>
      <c r="EE34" s="235"/>
      <c r="EF34" s="235"/>
      <c r="EG34" s="235"/>
      <c r="EH34" s="235"/>
      <c r="EI34" s="235"/>
      <c r="EJ34" s="235"/>
      <c r="EK34" s="235"/>
      <c r="EL34" s="235"/>
      <c r="EM34" s="235"/>
      <c r="EN34" s="235"/>
      <c r="EO34" s="235"/>
      <c r="EP34" s="235"/>
      <c r="EQ34" s="235"/>
      <c r="ER34" s="235"/>
      <c r="ES34" s="235"/>
      <c r="ET34" s="235"/>
      <c r="EU34" s="235"/>
      <c r="EV34" s="235"/>
      <c r="EW34" s="235"/>
      <c r="EX34" s="235"/>
      <c r="EY34" s="235"/>
      <c r="EZ34" s="235"/>
      <c r="FA34" s="235"/>
      <c r="FB34" s="235"/>
      <c r="FC34" s="235"/>
      <c r="FD34" s="235"/>
      <c r="FE34" s="235"/>
      <c r="FF34" s="235"/>
      <c r="FG34" s="235"/>
      <c r="FH34" s="235"/>
      <c r="FI34" s="235"/>
      <c r="FJ34" s="235"/>
      <c r="FK34" s="235"/>
      <c r="FL34" s="235"/>
      <c r="FM34" s="235"/>
      <c r="FN34" s="235"/>
      <c r="FO34" s="235"/>
      <c r="FP34" s="235"/>
      <c r="FQ34" s="235"/>
      <c r="FR34" s="235"/>
      <c r="FS34" s="235"/>
    </row>
    <row r="35" spans="3:175" ht="15.75" x14ac:dyDescent="0.25">
      <c r="C35" s="210"/>
      <c r="D35" s="210"/>
      <c r="E35" s="210" t="s">
        <v>135</v>
      </c>
      <c r="F35" s="211"/>
      <c r="G35" s="211"/>
      <c r="H35" s="211"/>
      <c r="I35" s="211"/>
      <c r="J35" s="211"/>
      <c r="K35" s="211"/>
      <c r="L35" s="211"/>
      <c r="M35" s="211"/>
      <c r="N35" s="211"/>
      <c r="O35" s="211"/>
      <c r="P35" s="211"/>
      <c r="Q35" s="210" t="s">
        <v>135</v>
      </c>
      <c r="R35" s="236"/>
      <c r="S35" s="236"/>
      <c r="T35" s="236"/>
      <c r="U35" s="236"/>
      <c r="V35" s="236"/>
      <c r="W35" s="236"/>
      <c r="X35" s="236"/>
      <c r="Y35" s="236"/>
      <c r="Z35" s="236"/>
      <c r="AA35" s="236"/>
      <c r="AB35" s="236"/>
      <c r="AC35" s="210" t="s">
        <v>135</v>
      </c>
      <c r="AD35" s="236"/>
      <c r="AE35" s="236"/>
      <c r="AF35" s="236"/>
      <c r="AG35" s="236"/>
      <c r="AH35" s="236"/>
      <c r="AI35" s="236"/>
      <c r="AJ35" s="237"/>
      <c r="AK35" s="236"/>
      <c r="AL35" s="236"/>
      <c r="AM35" s="236"/>
      <c r="AN35" s="236"/>
      <c r="AO35" s="210" t="s">
        <v>135</v>
      </c>
      <c r="AP35" s="236"/>
      <c r="AQ35" s="236"/>
      <c r="AR35" s="236"/>
      <c r="AS35" s="236"/>
      <c r="AT35" s="236"/>
      <c r="AU35" s="236"/>
      <c r="AV35" s="236"/>
      <c r="AW35" s="236"/>
      <c r="AX35" s="236"/>
      <c r="AY35" s="236"/>
      <c r="AZ35" s="236"/>
      <c r="BA35" s="210" t="s">
        <v>135</v>
      </c>
      <c r="BB35" s="235"/>
      <c r="BC35" s="235"/>
      <c r="BD35" s="235"/>
      <c r="BE35" s="235"/>
      <c r="BF35" s="235"/>
      <c r="BG35" s="235"/>
      <c r="BH35" s="235"/>
      <c r="BI35" s="235"/>
      <c r="BJ35" s="235"/>
      <c r="BK35" s="235"/>
      <c r="BL35" s="235"/>
      <c r="BM35" s="210" t="s">
        <v>135</v>
      </c>
      <c r="BN35" s="235"/>
      <c r="BO35" s="235"/>
      <c r="BP35" s="235"/>
      <c r="BQ35" s="235"/>
      <c r="BR35" s="235"/>
      <c r="BS35" s="235"/>
      <c r="BT35" s="235"/>
      <c r="BU35" s="235"/>
      <c r="BV35" s="235"/>
      <c r="BW35" s="235"/>
      <c r="BX35" s="235"/>
      <c r="BY35" s="235"/>
      <c r="BZ35" s="235"/>
      <c r="CA35" s="235"/>
      <c r="CB35" s="235"/>
      <c r="CC35" s="235"/>
      <c r="CD35" s="235"/>
      <c r="CE35" s="235"/>
      <c r="CF35" s="235"/>
      <c r="CG35" s="235"/>
      <c r="CH35" s="235"/>
      <c r="CI35" s="235"/>
      <c r="CJ35" s="235"/>
      <c r="CK35" s="235"/>
      <c r="CL35" s="235"/>
      <c r="CM35" s="235"/>
      <c r="CN35" s="235"/>
      <c r="CO35" s="235"/>
      <c r="CP35" s="235"/>
      <c r="CQ35" s="235"/>
      <c r="CR35" s="235"/>
      <c r="CS35" s="235"/>
      <c r="CT35" s="235"/>
      <c r="CU35" s="235"/>
      <c r="CV35" s="235"/>
      <c r="CW35" s="235"/>
      <c r="CX35" s="235"/>
      <c r="CY35" s="235"/>
      <c r="CZ35" s="235"/>
      <c r="DA35" s="235"/>
      <c r="DB35" s="235"/>
      <c r="DC35" s="235"/>
      <c r="DD35" s="235"/>
      <c r="DE35" s="235"/>
      <c r="DF35" s="235"/>
      <c r="DG35" s="235"/>
      <c r="DH35" s="235"/>
      <c r="DI35" s="235"/>
      <c r="DJ35" s="235"/>
      <c r="DK35" s="235"/>
      <c r="DL35" s="235"/>
      <c r="DM35" s="235"/>
      <c r="DN35" s="235"/>
      <c r="DO35" s="235"/>
      <c r="DP35" s="235"/>
      <c r="DQ35" s="235"/>
      <c r="DR35" s="235"/>
      <c r="DS35" s="235"/>
      <c r="DT35" s="235"/>
      <c r="DU35" s="235"/>
      <c r="DV35" s="235"/>
      <c r="DW35" s="235"/>
      <c r="DX35" s="235"/>
      <c r="DY35" s="235"/>
      <c r="DZ35" s="235"/>
      <c r="EA35" s="235"/>
      <c r="EB35" s="235"/>
      <c r="EC35" s="235"/>
      <c r="ED35" s="235"/>
      <c r="EE35" s="235"/>
      <c r="EF35" s="235"/>
      <c r="EG35" s="235"/>
      <c r="EH35" s="235"/>
      <c r="EI35" s="235"/>
      <c r="EJ35" s="235"/>
      <c r="EK35" s="235"/>
      <c r="EL35" s="235"/>
      <c r="EM35" s="235"/>
      <c r="EN35" s="235"/>
      <c r="EO35" s="235"/>
      <c r="EP35" s="235"/>
      <c r="EQ35" s="235"/>
      <c r="ER35" s="235"/>
      <c r="ES35" s="235"/>
      <c r="ET35" s="235"/>
      <c r="EU35" s="235"/>
      <c r="EV35" s="235"/>
      <c r="EW35" s="235"/>
      <c r="EX35" s="235"/>
      <c r="EY35" s="235"/>
      <c r="EZ35" s="235"/>
      <c r="FA35" s="235"/>
      <c r="FB35" s="235"/>
      <c r="FC35" s="235"/>
      <c r="FD35" s="235"/>
      <c r="FE35" s="235"/>
      <c r="FF35" s="235"/>
      <c r="FG35" s="235"/>
      <c r="FH35" s="235"/>
      <c r="FI35" s="235"/>
      <c r="FJ35" s="235"/>
      <c r="FK35" s="235"/>
      <c r="FL35" s="235"/>
      <c r="FM35" s="235"/>
      <c r="FN35" s="235"/>
      <c r="FO35" s="235"/>
      <c r="FP35" s="235"/>
      <c r="FQ35" s="235"/>
      <c r="FR35" s="235"/>
      <c r="FS35" s="235"/>
    </row>
    <row r="36" spans="3:175" ht="15.75" x14ac:dyDescent="0.25">
      <c r="C36" s="210"/>
      <c r="D36" s="210"/>
      <c r="E36" s="212" t="s">
        <v>145</v>
      </c>
      <c r="F36" s="211"/>
      <c r="G36" s="211"/>
      <c r="H36" s="211"/>
      <c r="I36" s="211"/>
      <c r="J36" s="211"/>
      <c r="K36" s="211"/>
      <c r="L36" s="211"/>
      <c r="M36" s="211"/>
      <c r="N36" s="211"/>
      <c r="O36" s="211"/>
      <c r="P36" s="211"/>
      <c r="Q36" s="212" t="s">
        <v>145</v>
      </c>
      <c r="R36" s="236"/>
      <c r="S36" s="236"/>
      <c r="T36" s="236"/>
      <c r="U36" s="236"/>
      <c r="V36" s="236"/>
      <c r="W36" s="236"/>
      <c r="X36" s="236"/>
      <c r="Y36" s="236"/>
      <c r="Z36" s="236"/>
      <c r="AA36" s="236"/>
      <c r="AB36" s="236"/>
      <c r="AC36" s="212" t="s">
        <v>145</v>
      </c>
      <c r="AD36" s="236"/>
      <c r="AE36" s="236"/>
      <c r="AF36" s="236"/>
      <c r="AG36" s="236"/>
      <c r="AH36" s="236"/>
      <c r="AI36" s="236"/>
      <c r="AJ36" s="237"/>
      <c r="AK36" s="236"/>
      <c r="AL36" s="236"/>
      <c r="AM36" s="236"/>
      <c r="AN36" s="236"/>
      <c r="AO36" s="212" t="s">
        <v>145</v>
      </c>
      <c r="AP36" s="236"/>
      <c r="AQ36" s="236"/>
      <c r="AR36" s="236"/>
      <c r="AS36" s="236"/>
      <c r="AT36" s="236"/>
      <c r="AU36" s="236"/>
      <c r="AV36" s="236"/>
      <c r="AW36" s="236"/>
      <c r="AX36" s="236"/>
      <c r="AY36" s="236"/>
      <c r="AZ36" s="236"/>
      <c r="BA36" s="212" t="s">
        <v>145</v>
      </c>
      <c r="BB36" s="235"/>
      <c r="BC36" s="235"/>
      <c r="BD36" s="235"/>
      <c r="BE36" s="235"/>
      <c r="BF36" s="235"/>
      <c r="BG36" s="235"/>
      <c r="BH36" s="235"/>
      <c r="BI36" s="235"/>
      <c r="BJ36" s="235"/>
      <c r="BK36" s="235"/>
      <c r="BL36" s="235"/>
      <c r="BM36" s="212" t="s">
        <v>145</v>
      </c>
      <c r="BN36" s="235"/>
      <c r="BO36" s="235"/>
      <c r="BP36" s="235"/>
      <c r="BQ36" s="235"/>
      <c r="BR36" s="235"/>
      <c r="BS36" s="235"/>
      <c r="BT36" s="235"/>
      <c r="BU36" s="235"/>
      <c r="BV36" s="235"/>
      <c r="BW36" s="235"/>
      <c r="BX36" s="235"/>
      <c r="BY36" s="235"/>
      <c r="BZ36" s="235"/>
      <c r="CA36" s="235"/>
      <c r="CB36" s="235"/>
      <c r="CC36" s="235"/>
      <c r="CD36" s="235"/>
      <c r="CE36" s="235"/>
      <c r="CF36" s="235"/>
      <c r="CG36" s="235"/>
      <c r="CH36" s="235"/>
      <c r="CI36" s="235"/>
      <c r="CJ36" s="235"/>
      <c r="CK36" s="235"/>
      <c r="CL36" s="235"/>
      <c r="CM36" s="235"/>
      <c r="CN36" s="235"/>
      <c r="CO36" s="235"/>
      <c r="CP36" s="235"/>
      <c r="CQ36" s="235"/>
      <c r="CR36" s="235"/>
      <c r="CS36" s="235"/>
      <c r="CT36" s="235"/>
      <c r="CU36" s="235"/>
      <c r="CV36" s="235"/>
      <c r="CW36" s="235"/>
      <c r="CX36" s="235"/>
      <c r="CY36" s="235"/>
      <c r="CZ36" s="235"/>
      <c r="DA36" s="235"/>
      <c r="DB36" s="235"/>
      <c r="DC36" s="235"/>
      <c r="DD36" s="235"/>
      <c r="DE36" s="235"/>
      <c r="DF36" s="235"/>
      <c r="DG36" s="235"/>
      <c r="DH36" s="235"/>
      <c r="DI36" s="235"/>
      <c r="DJ36" s="235"/>
      <c r="DK36" s="235"/>
      <c r="DL36" s="235"/>
      <c r="DM36" s="235"/>
      <c r="DN36" s="235"/>
      <c r="DO36" s="235"/>
      <c r="DP36" s="235"/>
      <c r="DQ36" s="235"/>
      <c r="DR36" s="235"/>
      <c r="DS36" s="235"/>
      <c r="DT36" s="235"/>
      <c r="DU36" s="235"/>
      <c r="DV36" s="235"/>
      <c r="DW36" s="235"/>
      <c r="DX36" s="235"/>
      <c r="DY36" s="235"/>
      <c r="DZ36" s="235"/>
      <c r="EA36" s="235"/>
      <c r="EB36" s="235"/>
      <c r="EC36" s="235"/>
      <c r="ED36" s="235"/>
      <c r="EE36" s="235"/>
      <c r="EF36" s="235"/>
      <c r="EG36" s="235"/>
      <c r="EH36" s="235"/>
      <c r="EI36" s="235"/>
      <c r="EJ36" s="235"/>
      <c r="EK36" s="235"/>
      <c r="EL36" s="235"/>
      <c r="EM36" s="235"/>
      <c r="EN36" s="235"/>
      <c r="EO36" s="235"/>
      <c r="EP36" s="235"/>
      <c r="EQ36" s="235"/>
      <c r="ER36" s="235"/>
      <c r="ES36" s="235"/>
      <c r="ET36" s="235"/>
      <c r="EU36" s="235"/>
      <c r="EV36" s="235"/>
      <c r="EW36" s="235"/>
      <c r="EX36" s="235"/>
      <c r="EY36" s="235"/>
      <c r="EZ36" s="235"/>
      <c r="FA36" s="235"/>
      <c r="FB36" s="235"/>
      <c r="FC36" s="235"/>
      <c r="FD36" s="235"/>
      <c r="FE36" s="235"/>
      <c r="FF36" s="235"/>
      <c r="FG36" s="235"/>
      <c r="FH36" s="235"/>
      <c r="FI36" s="235"/>
      <c r="FJ36" s="235"/>
      <c r="FK36" s="235"/>
      <c r="FL36" s="235"/>
      <c r="FM36" s="235"/>
      <c r="FN36" s="235"/>
      <c r="FO36" s="235"/>
      <c r="FP36" s="235"/>
      <c r="FQ36" s="235"/>
      <c r="FR36" s="235"/>
      <c r="FS36" s="235"/>
    </row>
    <row r="37" spans="3:175" ht="15.75" x14ac:dyDescent="0.25">
      <c r="C37" s="210"/>
      <c r="D37" s="210"/>
      <c r="E37" s="212" t="s">
        <v>146</v>
      </c>
      <c r="F37" s="211"/>
      <c r="G37" s="211"/>
      <c r="H37" s="211"/>
      <c r="I37" s="211"/>
      <c r="J37" s="211"/>
      <c r="K37" s="211"/>
      <c r="L37" s="211"/>
      <c r="M37" s="211"/>
      <c r="N37" s="211"/>
      <c r="O37" s="211"/>
      <c r="P37" s="211"/>
      <c r="Q37" s="212" t="s">
        <v>146</v>
      </c>
      <c r="R37" s="236"/>
      <c r="S37" s="236"/>
      <c r="T37" s="236"/>
      <c r="U37" s="236"/>
      <c r="V37" s="236"/>
      <c r="W37" s="236"/>
      <c r="X37" s="236"/>
      <c r="Y37" s="236"/>
      <c r="Z37" s="236"/>
      <c r="AA37" s="236"/>
      <c r="AB37" s="236"/>
      <c r="AC37" s="212" t="s">
        <v>146</v>
      </c>
      <c r="AD37" s="236"/>
      <c r="AE37" s="236"/>
      <c r="AF37" s="236"/>
      <c r="AG37" s="236"/>
      <c r="AH37" s="236"/>
      <c r="AI37" s="236"/>
      <c r="AJ37" s="237"/>
      <c r="AK37" s="236"/>
      <c r="AL37" s="236"/>
      <c r="AM37" s="236"/>
      <c r="AN37" s="236"/>
      <c r="AO37" s="212" t="s">
        <v>146</v>
      </c>
      <c r="AP37" s="236"/>
      <c r="AQ37" s="236"/>
      <c r="AR37" s="236"/>
      <c r="AS37" s="236"/>
      <c r="AT37" s="236"/>
      <c r="AU37" s="236"/>
      <c r="AV37" s="236"/>
      <c r="AW37" s="236"/>
      <c r="AX37" s="236"/>
      <c r="AY37" s="236"/>
      <c r="AZ37" s="236"/>
      <c r="BA37" s="212" t="s">
        <v>146</v>
      </c>
      <c r="BB37" s="235"/>
      <c r="BC37" s="235"/>
      <c r="BD37" s="235"/>
      <c r="BE37" s="235"/>
      <c r="BF37" s="235"/>
      <c r="BG37" s="235"/>
      <c r="BH37" s="235"/>
      <c r="BI37" s="235"/>
      <c r="BJ37" s="235"/>
      <c r="BK37" s="235"/>
      <c r="BL37" s="235"/>
      <c r="BM37" s="212" t="s">
        <v>146</v>
      </c>
      <c r="BN37" s="235"/>
      <c r="BO37" s="235"/>
      <c r="BP37" s="235"/>
      <c r="BQ37" s="235"/>
      <c r="BR37" s="235"/>
      <c r="BS37" s="235"/>
      <c r="BT37" s="235"/>
      <c r="BU37" s="235"/>
      <c r="BV37" s="235"/>
      <c r="BW37" s="235"/>
      <c r="BX37" s="235"/>
      <c r="BY37" s="235"/>
      <c r="BZ37" s="235"/>
      <c r="CA37" s="235"/>
      <c r="CB37" s="235"/>
      <c r="CC37" s="235"/>
      <c r="CD37" s="235"/>
      <c r="CE37" s="235"/>
      <c r="CF37" s="235"/>
      <c r="CG37" s="235"/>
      <c r="CH37" s="235"/>
      <c r="CI37" s="235"/>
      <c r="CJ37" s="235"/>
      <c r="CK37" s="235"/>
      <c r="CL37" s="235"/>
      <c r="CM37" s="235"/>
      <c r="CN37" s="235"/>
      <c r="CO37" s="235"/>
      <c r="CP37" s="235"/>
      <c r="CQ37" s="235"/>
      <c r="CR37" s="235"/>
      <c r="CS37" s="235"/>
      <c r="CT37" s="235"/>
      <c r="CU37" s="235"/>
      <c r="CV37" s="235"/>
      <c r="CW37" s="235"/>
      <c r="CX37" s="235"/>
      <c r="CY37" s="235"/>
      <c r="CZ37" s="235"/>
      <c r="DA37" s="235"/>
      <c r="DB37" s="235"/>
      <c r="DC37" s="235"/>
      <c r="DD37" s="235"/>
      <c r="DE37" s="235"/>
      <c r="DF37" s="235"/>
      <c r="DG37" s="235"/>
      <c r="DH37" s="235"/>
      <c r="DI37" s="235"/>
      <c r="DJ37" s="235"/>
      <c r="DK37" s="235"/>
      <c r="DL37" s="235"/>
      <c r="DM37" s="235"/>
      <c r="DN37" s="235"/>
      <c r="DO37" s="235"/>
      <c r="DP37" s="235"/>
      <c r="DQ37" s="235"/>
      <c r="DR37" s="235"/>
      <c r="DS37" s="235"/>
      <c r="DT37" s="235"/>
      <c r="DU37" s="235"/>
      <c r="DV37" s="235"/>
      <c r="DW37" s="235"/>
      <c r="DX37" s="235"/>
      <c r="DY37" s="235"/>
      <c r="DZ37" s="235"/>
      <c r="EA37" s="235"/>
      <c r="EB37" s="235"/>
      <c r="EC37" s="235"/>
      <c r="ED37" s="235"/>
      <c r="EE37" s="235"/>
      <c r="EF37" s="235"/>
      <c r="EG37" s="235"/>
      <c r="EH37" s="235"/>
      <c r="EI37" s="235"/>
      <c r="EJ37" s="235"/>
      <c r="EK37" s="235"/>
      <c r="EL37" s="235"/>
      <c r="EM37" s="235"/>
      <c r="EN37" s="235"/>
      <c r="EO37" s="235"/>
      <c r="EP37" s="235"/>
      <c r="EQ37" s="235"/>
      <c r="ER37" s="235"/>
      <c r="ES37" s="235"/>
      <c r="ET37" s="235"/>
      <c r="EU37" s="235"/>
      <c r="EV37" s="235"/>
      <c r="EW37" s="235"/>
      <c r="EX37" s="235"/>
      <c r="EY37" s="235"/>
      <c r="EZ37" s="235"/>
      <c r="FA37" s="235"/>
      <c r="FB37" s="235"/>
      <c r="FC37" s="235"/>
      <c r="FD37" s="235"/>
      <c r="FE37" s="235"/>
      <c r="FF37" s="235"/>
      <c r="FG37" s="235"/>
      <c r="FH37" s="235"/>
      <c r="FI37" s="235"/>
      <c r="FJ37" s="235"/>
      <c r="FK37" s="235"/>
      <c r="FL37" s="235"/>
      <c r="FM37" s="235"/>
      <c r="FN37" s="235"/>
      <c r="FO37" s="235"/>
      <c r="FP37" s="235"/>
      <c r="FQ37" s="235"/>
      <c r="FR37" s="235"/>
      <c r="FS37" s="235"/>
    </row>
    <row r="38" spans="3:175" x14ac:dyDescent="0.25">
      <c r="C38" s="210"/>
      <c r="D38" s="210"/>
      <c r="E38" s="169" t="s">
        <v>147</v>
      </c>
      <c r="Q38" s="169" t="s">
        <v>147</v>
      </c>
      <c r="R38" s="239"/>
      <c r="S38" s="239"/>
      <c r="T38" s="239"/>
      <c r="U38" s="239"/>
      <c r="V38" s="239"/>
      <c r="W38" s="239"/>
      <c r="X38" s="239"/>
      <c r="Y38" s="239"/>
      <c r="Z38" s="239"/>
      <c r="AA38" s="239"/>
      <c r="AB38" s="239"/>
      <c r="AC38" s="169" t="s">
        <v>147</v>
      </c>
      <c r="AD38" s="239"/>
      <c r="AE38" s="239"/>
      <c r="AF38" s="239"/>
      <c r="AG38" s="239"/>
      <c r="AH38" s="239"/>
      <c r="AI38" s="239"/>
      <c r="AJ38" s="171"/>
      <c r="AK38" s="240"/>
      <c r="AL38" s="240"/>
      <c r="AM38" s="240"/>
      <c r="AN38" s="240"/>
      <c r="AO38" s="169" t="s">
        <v>147</v>
      </c>
      <c r="AP38" s="240"/>
      <c r="AQ38" s="240"/>
      <c r="AR38" s="240"/>
      <c r="AS38" s="240"/>
      <c r="AT38" s="240"/>
      <c r="AU38" s="240"/>
      <c r="AV38" s="240"/>
      <c r="AW38" s="240"/>
      <c r="AX38" s="240"/>
      <c r="AY38" s="240"/>
      <c r="AZ38" s="240"/>
      <c r="BA38" s="169" t="s">
        <v>147</v>
      </c>
      <c r="BB38" s="241"/>
      <c r="BC38" s="241"/>
      <c r="BD38" s="241"/>
      <c r="BE38" s="241"/>
      <c r="BF38" s="241"/>
      <c r="BG38" s="241"/>
      <c r="BH38" s="241"/>
      <c r="BI38" s="241"/>
      <c r="BJ38" s="241"/>
      <c r="BK38" s="241"/>
      <c r="BL38" s="241"/>
      <c r="BM38" s="169" t="s">
        <v>147</v>
      </c>
      <c r="BN38" s="241"/>
      <c r="BO38" s="241"/>
      <c r="BP38" s="241"/>
      <c r="BQ38" s="241"/>
      <c r="BR38" s="241"/>
      <c r="BS38" s="241"/>
      <c r="BT38" s="241"/>
      <c r="BU38" s="241"/>
      <c r="BV38" s="241"/>
      <c r="BW38" s="241"/>
      <c r="BX38" s="241"/>
      <c r="BY38" s="241"/>
      <c r="BZ38" s="241"/>
      <c r="CA38" s="241"/>
      <c r="CB38" s="241"/>
      <c r="CC38" s="241"/>
      <c r="CD38" s="241"/>
      <c r="CE38" s="241"/>
      <c r="CF38" s="241"/>
      <c r="CG38" s="241"/>
      <c r="CH38" s="241"/>
      <c r="CI38" s="241"/>
      <c r="CJ38" s="241"/>
      <c r="CK38" s="241"/>
      <c r="CL38" s="241"/>
      <c r="CM38" s="241"/>
      <c r="CN38" s="241"/>
      <c r="CO38" s="241"/>
      <c r="CP38" s="241"/>
      <c r="CQ38" s="241"/>
      <c r="CR38" s="241"/>
      <c r="CS38" s="241"/>
      <c r="CT38" s="241"/>
      <c r="CU38" s="241"/>
      <c r="CV38" s="241"/>
      <c r="CW38" s="241"/>
      <c r="CX38" s="241"/>
      <c r="CY38" s="241"/>
      <c r="CZ38" s="241"/>
      <c r="DA38" s="241"/>
      <c r="DB38" s="241"/>
      <c r="DC38" s="241"/>
      <c r="DD38" s="241"/>
      <c r="DE38" s="241"/>
      <c r="DF38" s="241"/>
      <c r="DG38" s="241"/>
      <c r="DH38" s="241"/>
      <c r="DI38" s="241"/>
      <c r="DJ38" s="241"/>
      <c r="DK38" s="241"/>
      <c r="DL38" s="241"/>
      <c r="DM38" s="241"/>
      <c r="DN38" s="241"/>
      <c r="DO38" s="241"/>
      <c r="DP38" s="241"/>
      <c r="DQ38" s="241"/>
      <c r="DR38" s="241"/>
      <c r="DS38" s="241"/>
      <c r="DT38" s="241"/>
      <c r="DU38" s="241"/>
      <c r="DV38" s="241"/>
      <c r="DW38" s="241"/>
      <c r="DX38" s="241"/>
      <c r="DY38" s="241"/>
      <c r="DZ38" s="241"/>
      <c r="EA38" s="241"/>
      <c r="EB38" s="241"/>
      <c r="EC38" s="241"/>
      <c r="ED38" s="241"/>
      <c r="EE38" s="241"/>
      <c r="EF38" s="241"/>
      <c r="EG38" s="241"/>
      <c r="EH38" s="241"/>
      <c r="EI38" s="241"/>
      <c r="EJ38" s="241"/>
      <c r="EK38" s="241"/>
      <c r="EL38" s="241"/>
      <c r="EM38" s="241"/>
      <c r="EN38" s="241"/>
      <c r="EO38" s="241"/>
      <c r="EP38" s="241"/>
      <c r="EQ38" s="241"/>
      <c r="ER38" s="241"/>
      <c r="ES38" s="241"/>
      <c r="ET38" s="241"/>
      <c r="EU38" s="241"/>
      <c r="EV38" s="241"/>
      <c r="EW38" s="241"/>
      <c r="EX38" s="241"/>
      <c r="EY38" s="241"/>
      <c r="EZ38" s="241"/>
      <c r="FA38" s="241"/>
      <c r="FB38" s="241"/>
      <c r="FC38" s="241"/>
      <c r="FD38" s="241"/>
      <c r="FE38" s="241"/>
      <c r="FF38" s="241"/>
      <c r="FG38" s="241"/>
      <c r="FH38" s="241"/>
      <c r="FI38" s="241"/>
      <c r="FJ38" s="241"/>
      <c r="FK38" s="241"/>
      <c r="FL38" s="241"/>
      <c r="FM38" s="241"/>
      <c r="FN38" s="241"/>
      <c r="FO38" s="241"/>
      <c r="FP38" s="241"/>
      <c r="FQ38" s="241"/>
      <c r="FR38" s="241"/>
      <c r="FS38" s="241"/>
    </row>
    <row r="39" spans="3:175" x14ac:dyDescent="0.25">
      <c r="C39" s="210"/>
      <c r="D39" s="210"/>
      <c r="E39" s="212" t="s">
        <v>136</v>
      </c>
      <c r="Q39" s="212" t="s">
        <v>136</v>
      </c>
      <c r="R39" s="239"/>
      <c r="S39" s="239"/>
      <c r="T39" s="239"/>
      <c r="U39" s="239"/>
      <c r="V39" s="239"/>
      <c r="W39" s="239"/>
      <c r="X39" s="239"/>
      <c r="Y39" s="239"/>
      <c r="Z39" s="239"/>
      <c r="AA39" s="239"/>
      <c r="AB39" s="239"/>
      <c r="AC39" s="212" t="s">
        <v>136</v>
      </c>
      <c r="AD39" s="239"/>
      <c r="AE39" s="239"/>
      <c r="AF39" s="239"/>
      <c r="AG39" s="239"/>
      <c r="AH39" s="239"/>
      <c r="AI39" s="239"/>
      <c r="AJ39" s="171"/>
      <c r="AK39" s="240"/>
      <c r="AL39" s="240"/>
      <c r="AM39" s="240"/>
      <c r="AN39" s="240"/>
      <c r="AO39" s="212" t="s">
        <v>136</v>
      </c>
      <c r="AP39" s="240"/>
      <c r="AQ39" s="240"/>
      <c r="AR39" s="240"/>
      <c r="AS39" s="240"/>
      <c r="AT39" s="240"/>
      <c r="AU39" s="240"/>
      <c r="AV39" s="240"/>
      <c r="AW39" s="240"/>
      <c r="AX39" s="240"/>
      <c r="AY39" s="240"/>
      <c r="AZ39" s="240"/>
      <c r="BA39" s="212" t="s">
        <v>136</v>
      </c>
      <c r="BB39" s="241"/>
      <c r="BC39" s="241"/>
      <c r="BD39" s="241"/>
      <c r="BE39" s="241"/>
      <c r="BF39" s="241"/>
      <c r="BG39" s="241"/>
      <c r="BH39" s="241"/>
      <c r="BI39" s="241"/>
      <c r="BJ39" s="241"/>
      <c r="BK39" s="241"/>
      <c r="BL39" s="241"/>
      <c r="BM39" s="212" t="s">
        <v>136</v>
      </c>
      <c r="BN39" s="241"/>
      <c r="BO39" s="241"/>
      <c r="BP39" s="241"/>
      <c r="BQ39" s="241"/>
      <c r="BR39" s="241"/>
      <c r="BS39" s="241"/>
      <c r="BT39" s="241"/>
      <c r="BU39" s="241"/>
      <c r="BV39" s="241"/>
      <c r="BW39" s="241"/>
      <c r="BX39" s="241"/>
      <c r="BY39" s="241"/>
      <c r="BZ39" s="241"/>
      <c r="CA39" s="241"/>
      <c r="CB39" s="241"/>
      <c r="CC39" s="241"/>
      <c r="CD39" s="241"/>
      <c r="CE39" s="241"/>
      <c r="CF39" s="241"/>
      <c r="CG39" s="241"/>
      <c r="CH39" s="241"/>
      <c r="CI39" s="241"/>
      <c r="CJ39" s="241"/>
      <c r="CK39" s="241"/>
      <c r="CL39" s="241"/>
      <c r="CM39" s="241"/>
      <c r="CN39" s="241"/>
      <c r="CO39" s="241"/>
      <c r="CP39" s="241"/>
      <c r="CQ39" s="241"/>
      <c r="CR39" s="241"/>
      <c r="CS39" s="241"/>
      <c r="CT39" s="241"/>
      <c r="CU39" s="241"/>
      <c r="CV39" s="241"/>
      <c r="CW39" s="241"/>
      <c r="CX39" s="241"/>
      <c r="CY39" s="241"/>
      <c r="CZ39" s="241"/>
      <c r="DA39" s="241"/>
      <c r="DB39" s="241"/>
      <c r="DC39" s="241"/>
      <c r="DD39" s="241"/>
      <c r="DE39" s="241"/>
      <c r="DF39" s="241"/>
      <c r="DG39" s="241"/>
      <c r="DH39" s="241"/>
      <c r="DI39" s="241"/>
      <c r="DJ39" s="241"/>
      <c r="DK39" s="241"/>
      <c r="DL39" s="241"/>
      <c r="DM39" s="241"/>
      <c r="DN39" s="241"/>
      <c r="DO39" s="241"/>
      <c r="DP39" s="241"/>
      <c r="DQ39" s="241"/>
      <c r="DR39" s="241"/>
      <c r="DS39" s="241"/>
      <c r="DT39" s="241"/>
      <c r="DU39" s="241"/>
      <c r="DV39" s="241"/>
      <c r="DW39" s="241"/>
      <c r="DX39" s="241"/>
      <c r="DY39" s="241"/>
      <c r="DZ39" s="241"/>
      <c r="EA39" s="241"/>
      <c r="EB39" s="241"/>
      <c r="EC39" s="241"/>
      <c r="ED39" s="241"/>
      <c r="EE39" s="241"/>
      <c r="EF39" s="241"/>
      <c r="EG39" s="241"/>
      <c r="EH39" s="241"/>
      <c r="EI39" s="241"/>
      <c r="EJ39" s="241"/>
      <c r="EK39" s="241"/>
      <c r="EL39" s="241"/>
      <c r="EM39" s="241"/>
      <c r="EN39" s="241"/>
      <c r="EO39" s="241"/>
      <c r="EP39" s="241"/>
      <c r="EQ39" s="241"/>
      <c r="ER39" s="241"/>
      <c r="ES39" s="241"/>
      <c r="ET39" s="241"/>
      <c r="EU39" s="241"/>
      <c r="EV39" s="241"/>
      <c r="EW39" s="241"/>
      <c r="EX39" s="241"/>
      <c r="EY39" s="241"/>
      <c r="EZ39" s="241"/>
      <c r="FA39" s="241"/>
      <c r="FB39" s="241"/>
      <c r="FC39" s="241"/>
      <c r="FD39" s="241"/>
      <c r="FE39" s="241"/>
      <c r="FF39" s="241"/>
      <c r="FG39" s="241"/>
      <c r="FH39" s="241"/>
      <c r="FI39" s="241"/>
      <c r="FJ39" s="241"/>
      <c r="FK39" s="241"/>
      <c r="FL39" s="241"/>
      <c r="FM39" s="241"/>
      <c r="FN39" s="241"/>
      <c r="FO39" s="241"/>
      <c r="FP39" s="241"/>
      <c r="FQ39" s="241"/>
      <c r="FR39" s="241"/>
      <c r="FS39" s="241"/>
    </row>
    <row r="40" spans="3:175" x14ac:dyDescent="0.25">
      <c r="C40" s="210"/>
      <c r="D40" s="210"/>
      <c r="E40" s="212" t="s">
        <v>144</v>
      </c>
      <c r="Q40" s="212" t="s">
        <v>144</v>
      </c>
      <c r="R40" s="239"/>
      <c r="S40" s="239"/>
      <c r="T40" s="239"/>
      <c r="U40" s="239"/>
      <c r="V40" s="239"/>
      <c r="W40" s="239"/>
      <c r="X40" s="239"/>
      <c r="Y40" s="239"/>
      <c r="Z40" s="239"/>
      <c r="AA40" s="239"/>
      <c r="AB40" s="239"/>
      <c r="AC40" s="212" t="s">
        <v>144</v>
      </c>
      <c r="AD40" s="239"/>
      <c r="AE40" s="239"/>
      <c r="AF40" s="239"/>
      <c r="AG40" s="239"/>
      <c r="AH40" s="239"/>
      <c r="AI40" s="239"/>
      <c r="AJ40" s="171"/>
      <c r="AK40" s="240"/>
      <c r="AL40" s="240"/>
      <c r="AM40" s="240"/>
      <c r="AN40" s="240"/>
      <c r="AO40" s="212" t="s">
        <v>144</v>
      </c>
      <c r="AP40" s="240"/>
      <c r="AQ40" s="240"/>
      <c r="AR40" s="240"/>
      <c r="AS40" s="240"/>
      <c r="AT40" s="240"/>
      <c r="AU40" s="240"/>
      <c r="AV40" s="240"/>
      <c r="AW40" s="240"/>
      <c r="AX40" s="240"/>
      <c r="AY40" s="240"/>
      <c r="AZ40" s="240"/>
      <c r="BA40" s="212" t="s">
        <v>144</v>
      </c>
      <c r="BB40" s="241"/>
      <c r="BC40" s="241"/>
      <c r="BD40" s="241"/>
      <c r="BE40" s="241"/>
      <c r="BF40" s="241"/>
      <c r="BG40" s="241"/>
      <c r="BH40" s="241"/>
      <c r="BI40" s="241"/>
      <c r="BJ40" s="241"/>
      <c r="BK40" s="241"/>
      <c r="BL40" s="241"/>
      <c r="BM40" s="212" t="s">
        <v>144</v>
      </c>
      <c r="BN40" s="241"/>
      <c r="BO40" s="241"/>
      <c r="BP40" s="241"/>
      <c r="BQ40" s="241"/>
      <c r="BR40" s="241"/>
      <c r="BS40" s="241"/>
      <c r="BT40" s="241"/>
      <c r="BU40" s="241"/>
      <c r="BV40" s="241"/>
      <c r="BW40" s="241"/>
      <c r="BX40" s="241"/>
      <c r="BY40" s="241"/>
      <c r="BZ40" s="241"/>
      <c r="CA40" s="241"/>
      <c r="CB40" s="241"/>
      <c r="CC40" s="241"/>
      <c r="CD40" s="241"/>
      <c r="CE40" s="241"/>
      <c r="CF40" s="241"/>
      <c r="CG40" s="241"/>
      <c r="CH40" s="241"/>
      <c r="CI40" s="241"/>
      <c r="CJ40" s="241"/>
      <c r="CK40" s="241"/>
      <c r="CL40" s="241"/>
      <c r="CM40" s="241"/>
      <c r="CN40" s="241"/>
      <c r="CO40" s="241"/>
      <c r="CP40" s="241"/>
      <c r="CQ40" s="241"/>
      <c r="CR40" s="241"/>
      <c r="CS40" s="241"/>
      <c r="CT40" s="241"/>
      <c r="CU40" s="241"/>
      <c r="CV40" s="241"/>
      <c r="CW40" s="241"/>
      <c r="CX40" s="241"/>
      <c r="CY40" s="241"/>
      <c r="CZ40" s="241"/>
      <c r="DA40" s="241"/>
      <c r="DB40" s="241"/>
      <c r="DC40" s="241"/>
      <c r="DD40" s="241"/>
      <c r="DE40" s="241"/>
      <c r="DF40" s="241"/>
      <c r="DG40" s="241"/>
      <c r="DH40" s="241"/>
      <c r="DI40" s="241"/>
      <c r="DJ40" s="241"/>
      <c r="DK40" s="241"/>
      <c r="DL40" s="241"/>
      <c r="DM40" s="241"/>
      <c r="DN40" s="241"/>
      <c r="DO40" s="241"/>
      <c r="DP40" s="241"/>
      <c r="DQ40" s="241"/>
      <c r="DR40" s="241"/>
      <c r="DS40" s="241"/>
      <c r="DT40" s="241"/>
      <c r="DU40" s="241"/>
      <c r="DV40" s="241"/>
      <c r="DW40" s="241"/>
      <c r="DX40" s="241"/>
      <c r="DY40" s="241"/>
      <c r="DZ40" s="241"/>
      <c r="EA40" s="241"/>
      <c r="EB40" s="241"/>
      <c r="EC40" s="241"/>
      <c r="ED40" s="241"/>
      <c r="EE40" s="241"/>
      <c r="EF40" s="241"/>
      <c r="EG40" s="241"/>
      <c r="EH40" s="241"/>
      <c r="EI40" s="241"/>
      <c r="EJ40" s="241"/>
      <c r="EK40" s="241"/>
      <c r="EL40" s="241"/>
      <c r="EM40" s="241"/>
      <c r="EN40" s="241"/>
      <c r="EO40" s="241"/>
      <c r="EP40" s="241"/>
      <c r="EQ40" s="241"/>
      <c r="ER40" s="241"/>
      <c r="ES40" s="241"/>
      <c r="ET40" s="241"/>
      <c r="EU40" s="241"/>
      <c r="EV40" s="241"/>
      <c r="EW40" s="241"/>
      <c r="EX40" s="241"/>
      <c r="EY40" s="241"/>
      <c r="EZ40" s="241"/>
      <c r="FA40" s="241"/>
      <c r="FB40" s="241"/>
      <c r="FC40" s="241"/>
      <c r="FD40" s="241"/>
      <c r="FE40" s="241"/>
      <c r="FF40" s="241"/>
      <c r="FG40" s="241"/>
      <c r="FH40" s="241"/>
      <c r="FI40" s="241"/>
      <c r="FJ40" s="241"/>
      <c r="FK40" s="241"/>
      <c r="FL40" s="241"/>
      <c r="FM40" s="241"/>
      <c r="FN40" s="241"/>
      <c r="FO40" s="241"/>
      <c r="FP40" s="241"/>
      <c r="FQ40" s="241"/>
      <c r="FR40" s="241"/>
      <c r="FS40" s="241"/>
    </row>
    <row r="41" spans="3:175" x14ac:dyDescent="0.25">
      <c r="C41" s="212"/>
      <c r="D41" s="212"/>
      <c r="E41" s="212"/>
      <c r="Q41" s="212"/>
      <c r="R41" s="239"/>
      <c r="S41" s="239"/>
      <c r="T41" s="239"/>
      <c r="U41" s="239"/>
      <c r="V41" s="239"/>
      <c r="W41" s="239"/>
      <c r="X41" s="239"/>
      <c r="Y41" s="239"/>
      <c r="Z41" s="239"/>
      <c r="AA41" s="239"/>
      <c r="AB41" s="239"/>
      <c r="AC41" s="212"/>
      <c r="AD41" s="239"/>
      <c r="AE41" s="239"/>
      <c r="AF41" s="239"/>
      <c r="AG41" s="239"/>
      <c r="AH41" s="239"/>
      <c r="AI41" s="239"/>
      <c r="AK41" s="239"/>
      <c r="AL41" s="239"/>
      <c r="AM41" s="239"/>
      <c r="AN41" s="239"/>
      <c r="AO41" s="212"/>
      <c r="AP41" s="239"/>
      <c r="AQ41" s="239"/>
      <c r="AR41" s="239"/>
      <c r="AS41" s="239"/>
      <c r="AT41" s="239"/>
      <c r="AU41" s="239"/>
      <c r="AV41" s="239"/>
      <c r="AW41" s="239"/>
      <c r="AX41" s="239"/>
      <c r="AY41" s="239"/>
      <c r="AZ41" s="239"/>
      <c r="BA41" s="212"/>
      <c r="BB41" s="238"/>
      <c r="BC41" s="238"/>
      <c r="BD41" s="238"/>
      <c r="BE41" s="238"/>
      <c r="BF41" s="238"/>
      <c r="BG41" s="238"/>
      <c r="BH41" s="238"/>
      <c r="BI41" s="238"/>
      <c r="BJ41" s="238"/>
      <c r="BK41" s="238"/>
      <c r="BL41" s="238"/>
      <c r="BM41" s="212"/>
      <c r="BN41" s="238"/>
      <c r="BO41" s="238"/>
      <c r="BP41" s="238"/>
      <c r="BQ41" s="238"/>
      <c r="BR41" s="238"/>
      <c r="BS41" s="238"/>
      <c r="BT41" s="238"/>
      <c r="BU41" s="238"/>
      <c r="BV41" s="238"/>
      <c r="BW41" s="238"/>
      <c r="BX41" s="238"/>
      <c r="BY41" s="238"/>
      <c r="BZ41" s="238"/>
      <c r="CA41" s="238"/>
      <c r="CB41" s="238"/>
      <c r="CC41" s="238"/>
      <c r="CD41" s="238"/>
      <c r="CE41" s="238"/>
      <c r="CF41" s="238"/>
      <c r="CG41" s="238"/>
      <c r="CH41" s="238"/>
      <c r="CI41" s="238"/>
      <c r="CJ41" s="238"/>
      <c r="CK41" s="238"/>
      <c r="CL41" s="238"/>
      <c r="CM41" s="238"/>
      <c r="CN41" s="238"/>
      <c r="CO41" s="238"/>
      <c r="CP41" s="238"/>
      <c r="CQ41" s="238"/>
      <c r="CR41" s="238"/>
      <c r="CS41" s="238"/>
      <c r="CT41" s="238"/>
      <c r="CU41" s="238"/>
      <c r="CV41" s="238"/>
      <c r="CW41" s="238"/>
      <c r="CX41" s="238"/>
      <c r="CY41" s="238"/>
      <c r="CZ41" s="238"/>
      <c r="DA41" s="238"/>
      <c r="DB41" s="238"/>
      <c r="DC41" s="238"/>
      <c r="DD41" s="238"/>
      <c r="DE41" s="238"/>
      <c r="DF41" s="238"/>
      <c r="DG41" s="238"/>
      <c r="DH41" s="238"/>
      <c r="DI41" s="238"/>
      <c r="DJ41" s="238"/>
      <c r="DK41" s="238"/>
      <c r="DL41" s="238"/>
      <c r="DM41" s="238"/>
      <c r="DN41" s="238"/>
      <c r="DO41" s="238"/>
      <c r="DP41" s="238"/>
      <c r="DQ41" s="238"/>
      <c r="DR41" s="238"/>
      <c r="DS41" s="238"/>
      <c r="DT41" s="238"/>
      <c r="DU41" s="238"/>
      <c r="DV41" s="238"/>
      <c r="DW41" s="238"/>
      <c r="DX41" s="238"/>
      <c r="DY41" s="238"/>
      <c r="DZ41" s="238"/>
      <c r="EA41" s="238"/>
      <c r="EB41" s="238"/>
      <c r="EC41" s="238"/>
      <c r="ED41" s="238"/>
      <c r="EE41" s="238"/>
      <c r="EF41" s="238"/>
      <c r="EG41" s="238"/>
      <c r="EH41" s="238"/>
      <c r="EI41" s="238"/>
      <c r="EJ41" s="238"/>
      <c r="EK41" s="238"/>
      <c r="EL41" s="238"/>
      <c r="EM41" s="238"/>
      <c r="EN41" s="238"/>
      <c r="EO41" s="238"/>
      <c r="EP41" s="238"/>
      <c r="EQ41" s="238"/>
      <c r="ER41" s="238"/>
      <c r="ES41" s="238"/>
      <c r="ET41" s="238"/>
      <c r="EU41" s="238"/>
      <c r="EV41" s="238"/>
      <c r="EW41" s="238"/>
      <c r="EX41" s="238"/>
      <c r="EY41" s="238"/>
      <c r="EZ41" s="238"/>
      <c r="FA41" s="238"/>
      <c r="FB41" s="238"/>
      <c r="FC41" s="238"/>
      <c r="FD41" s="238"/>
      <c r="FE41" s="238"/>
      <c r="FF41" s="238"/>
      <c r="FG41" s="238"/>
      <c r="FH41" s="238"/>
      <c r="FI41" s="238"/>
      <c r="FJ41" s="238"/>
      <c r="FK41" s="238"/>
      <c r="FL41" s="238"/>
      <c r="FM41" s="238"/>
      <c r="FN41" s="238"/>
      <c r="FO41" s="238"/>
      <c r="FP41" s="238"/>
      <c r="FQ41" s="238"/>
      <c r="FR41" s="238"/>
      <c r="FS41" s="238"/>
    </row>
    <row r="42" spans="3:175" x14ac:dyDescent="0.25">
      <c r="C42" s="212"/>
      <c r="D42" s="212"/>
      <c r="E42" s="212" t="s">
        <v>88</v>
      </c>
      <c r="F42" s="24"/>
      <c r="G42" s="24"/>
      <c r="H42" s="24"/>
      <c r="I42" s="24"/>
      <c r="J42" s="24"/>
      <c r="K42" s="24"/>
      <c r="L42" s="24"/>
      <c r="M42" s="24"/>
      <c r="N42" s="24"/>
      <c r="O42" s="24"/>
      <c r="P42" s="24"/>
      <c r="Q42" s="212" t="s">
        <v>88</v>
      </c>
      <c r="R42" s="240"/>
      <c r="S42" s="240"/>
      <c r="T42" s="240"/>
      <c r="U42" s="240"/>
      <c r="V42" s="240"/>
      <c r="W42" s="240"/>
      <c r="X42" s="240"/>
      <c r="Y42" s="240"/>
      <c r="Z42" s="240"/>
      <c r="AA42" s="240"/>
      <c r="AB42" s="240"/>
      <c r="AC42" s="212" t="s">
        <v>88</v>
      </c>
      <c r="AD42" s="240"/>
      <c r="AE42" s="240"/>
      <c r="AF42" s="240"/>
      <c r="AG42" s="240"/>
      <c r="AH42" s="240"/>
      <c r="AI42" s="240"/>
      <c r="AJ42" s="171"/>
      <c r="AK42" s="240"/>
      <c r="AL42" s="240"/>
      <c r="AM42" s="240"/>
      <c r="AN42" s="240"/>
      <c r="AO42" s="212" t="s">
        <v>88</v>
      </c>
      <c r="AP42" s="240"/>
      <c r="AQ42" s="240"/>
      <c r="AR42" s="240"/>
      <c r="AS42" s="240"/>
      <c r="AT42" s="240"/>
      <c r="AU42" s="240"/>
      <c r="AV42" s="240"/>
      <c r="AW42" s="240"/>
      <c r="AX42" s="240"/>
      <c r="AY42" s="240"/>
      <c r="AZ42" s="240"/>
      <c r="BA42" s="212" t="s">
        <v>88</v>
      </c>
      <c r="BB42" s="241"/>
      <c r="BC42" s="241"/>
      <c r="BD42" s="241"/>
      <c r="BE42" s="241"/>
      <c r="BF42" s="241"/>
      <c r="BG42" s="241"/>
      <c r="BH42" s="241"/>
      <c r="BI42" s="241"/>
      <c r="BJ42" s="241"/>
      <c r="BK42" s="241"/>
      <c r="BL42" s="241"/>
      <c r="BM42" s="212" t="s">
        <v>88</v>
      </c>
      <c r="BN42" s="241"/>
      <c r="BO42" s="241"/>
      <c r="BP42" s="241"/>
      <c r="BQ42" s="241"/>
      <c r="BR42" s="241"/>
      <c r="BS42" s="241"/>
      <c r="BT42" s="241"/>
      <c r="BU42" s="241"/>
      <c r="BV42" s="241"/>
      <c r="BW42" s="241"/>
      <c r="BX42" s="241"/>
      <c r="BY42" s="241"/>
      <c r="BZ42" s="241"/>
      <c r="CA42" s="241"/>
      <c r="CB42" s="241"/>
      <c r="CC42" s="241"/>
      <c r="CD42" s="241"/>
      <c r="CE42" s="241"/>
      <c r="CF42" s="241"/>
      <c r="CG42" s="241"/>
      <c r="CH42" s="241"/>
      <c r="CI42" s="241"/>
      <c r="CJ42" s="241"/>
      <c r="CK42" s="241"/>
      <c r="CL42" s="241"/>
      <c r="CM42" s="241"/>
      <c r="CN42" s="241"/>
      <c r="CO42" s="241"/>
      <c r="CP42" s="241"/>
      <c r="CQ42" s="241"/>
      <c r="CR42" s="241"/>
      <c r="CS42" s="241"/>
      <c r="CT42" s="241"/>
      <c r="CU42" s="241"/>
      <c r="CV42" s="241"/>
      <c r="CW42" s="241"/>
      <c r="CX42" s="241"/>
      <c r="CY42" s="241"/>
      <c r="CZ42" s="241"/>
      <c r="DA42" s="241"/>
      <c r="DB42" s="241"/>
      <c r="DC42" s="241"/>
      <c r="DD42" s="241"/>
      <c r="DE42" s="241"/>
      <c r="DF42" s="241"/>
      <c r="DG42" s="241"/>
      <c r="DH42" s="241"/>
      <c r="DI42" s="241"/>
      <c r="DJ42" s="241"/>
      <c r="DK42" s="241"/>
      <c r="DL42" s="241"/>
      <c r="DM42" s="241"/>
      <c r="DN42" s="241"/>
      <c r="DO42" s="241"/>
      <c r="DP42" s="241"/>
      <c r="DQ42" s="241"/>
      <c r="DR42" s="241"/>
      <c r="DS42" s="241"/>
      <c r="DT42" s="241"/>
      <c r="DU42" s="241"/>
      <c r="DV42" s="241"/>
      <c r="DW42" s="241"/>
      <c r="DX42" s="241"/>
      <c r="DY42" s="241"/>
      <c r="DZ42" s="241"/>
      <c r="EA42" s="241"/>
      <c r="EB42" s="241"/>
      <c r="EC42" s="241"/>
      <c r="ED42" s="241"/>
      <c r="EE42" s="241"/>
      <c r="EF42" s="241"/>
      <c r="EG42" s="241"/>
      <c r="EH42" s="241"/>
      <c r="EI42" s="241"/>
      <c r="EJ42" s="241"/>
      <c r="EK42" s="241"/>
      <c r="EL42" s="241"/>
      <c r="EM42" s="241"/>
      <c r="EN42" s="241"/>
      <c r="EO42" s="241"/>
      <c r="EP42" s="241"/>
      <c r="EQ42" s="241"/>
      <c r="ER42" s="241"/>
      <c r="ES42" s="241"/>
      <c r="ET42" s="241"/>
      <c r="EU42" s="241"/>
      <c r="EV42" s="241"/>
      <c r="EW42" s="241"/>
      <c r="EX42" s="241"/>
      <c r="EY42" s="241"/>
      <c r="EZ42" s="241"/>
      <c r="FA42" s="241"/>
      <c r="FB42" s="241"/>
      <c r="FC42" s="241"/>
      <c r="FD42" s="241"/>
      <c r="FE42" s="241"/>
      <c r="FF42" s="241"/>
      <c r="FG42" s="241"/>
      <c r="FH42" s="241"/>
      <c r="FI42" s="241"/>
      <c r="FJ42" s="241"/>
      <c r="FK42" s="241"/>
      <c r="FL42" s="241"/>
      <c r="FM42" s="241"/>
      <c r="FN42" s="241"/>
      <c r="FO42" s="241"/>
      <c r="FP42" s="241"/>
      <c r="FQ42" s="241"/>
      <c r="FR42" s="241"/>
      <c r="FS42" s="241"/>
    </row>
    <row r="43" spans="3:175" x14ac:dyDescent="0.25">
      <c r="C43" s="212"/>
      <c r="D43" s="212"/>
      <c r="E43" s="213" t="s">
        <v>89</v>
      </c>
      <c r="Q43" s="213" t="s">
        <v>89</v>
      </c>
      <c r="R43" s="239"/>
      <c r="S43" s="239"/>
      <c r="T43" s="239"/>
      <c r="U43" s="239"/>
      <c r="V43" s="239"/>
      <c r="W43" s="239"/>
      <c r="X43" s="239"/>
      <c r="Y43" s="239"/>
      <c r="Z43" s="239"/>
      <c r="AA43" s="239"/>
      <c r="AB43" s="239"/>
      <c r="AC43" s="213" t="s">
        <v>89</v>
      </c>
      <c r="AD43" s="239"/>
      <c r="AE43" s="239"/>
      <c r="AF43" s="239"/>
      <c r="AG43" s="239"/>
      <c r="AH43" s="239"/>
      <c r="AI43" s="239"/>
      <c r="AK43" s="239"/>
      <c r="AL43" s="239"/>
      <c r="AM43" s="239"/>
      <c r="AN43" s="239"/>
      <c r="AO43" s="213" t="s">
        <v>89</v>
      </c>
      <c r="AP43" s="239"/>
      <c r="AQ43" s="239"/>
      <c r="AR43" s="239"/>
      <c r="AS43" s="239"/>
      <c r="AT43" s="239"/>
      <c r="AU43" s="239"/>
      <c r="AV43" s="239"/>
      <c r="AW43" s="239"/>
      <c r="AX43" s="239"/>
      <c r="AY43" s="239"/>
      <c r="AZ43" s="239"/>
      <c r="BA43" s="213" t="s">
        <v>89</v>
      </c>
      <c r="BB43" s="238"/>
      <c r="BC43" s="238"/>
      <c r="BD43" s="238"/>
      <c r="BE43" s="238"/>
      <c r="BF43" s="238"/>
      <c r="BG43" s="238"/>
      <c r="BH43" s="238"/>
      <c r="BI43" s="238"/>
      <c r="BJ43" s="238"/>
      <c r="BK43" s="238"/>
      <c r="BL43" s="238"/>
      <c r="BM43" s="213" t="s">
        <v>89</v>
      </c>
      <c r="BN43" s="238"/>
      <c r="BO43" s="238"/>
      <c r="BP43" s="238"/>
      <c r="BQ43" s="238"/>
      <c r="BR43" s="238"/>
      <c r="BS43" s="238"/>
      <c r="BT43" s="238"/>
      <c r="BU43" s="238"/>
      <c r="BV43" s="238"/>
      <c r="BW43" s="238"/>
      <c r="BX43" s="238"/>
      <c r="BY43" s="238"/>
      <c r="BZ43" s="238"/>
      <c r="CA43" s="238"/>
      <c r="CB43" s="238"/>
      <c r="CC43" s="238"/>
      <c r="CD43" s="238"/>
      <c r="CE43" s="238"/>
      <c r="CF43" s="238"/>
      <c r="CG43" s="238"/>
      <c r="CH43" s="238"/>
      <c r="CI43" s="238"/>
      <c r="CJ43" s="238"/>
      <c r="CK43" s="238"/>
      <c r="CL43" s="238"/>
      <c r="CM43" s="238"/>
      <c r="CN43" s="238"/>
      <c r="CO43" s="238"/>
      <c r="CP43" s="238"/>
      <c r="CQ43" s="238"/>
      <c r="CR43" s="238"/>
      <c r="CS43" s="238"/>
      <c r="CT43" s="238"/>
      <c r="CU43" s="238"/>
      <c r="CV43" s="238"/>
      <c r="CW43" s="238"/>
      <c r="CX43" s="238"/>
      <c r="CY43" s="238"/>
      <c r="CZ43" s="238"/>
      <c r="DA43" s="238"/>
      <c r="DB43" s="238"/>
      <c r="DC43" s="238"/>
      <c r="DD43" s="238"/>
      <c r="DE43" s="238"/>
      <c r="DF43" s="238"/>
      <c r="DG43" s="238"/>
      <c r="DH43" s="238"/>
      <c r="DI43" s="238"/>
      <c r="DJ43" s="238"/>
      <c r="DK43" s="238"/>
      <c r="DL43" s="238"/>
      <c r="DM43" s="238"/>
      <c r="DN43" s="238"/>
      <c r="DO43" s="238"/>
      <c r="DP43" s="238"/>
      <c r="DQ43" s="238"/>
      <c r="DR43" s="238"/>
      <c r="DS43" s="238"/>
      <c r="DT43" s="238"/>
      <c r="DU43" s="238"/>
      <c r="DV43" s="238"/>
      <c r="DW43" s="238"/>
      <c r="DX43" s="238"/>
      <c r="DY43" s="238"/>
      <c r="DZ43" s="238"/>
      <c r="EA43" s="238"/>
      <c r="EB43" s="238"/>
      <c r="EC43" s="238"/>
      <c r="ED43" s="238"/>
      <c r="EE43" s="238"/>
      <c r="EF43" s="238"/>
      <c r="EG43" s="238"/>
      <c r="EH43" s="238"/>
      <c r="EI43" s="238"/>
      <c r="EJ43" s="238"/>
      <c r="EK43" s="238"/>
      <c r="EL43" s="238"/>
      <c r="EM43" s="238"/>
      <c r="EN43" s="238"/>
      <c r="EO43" s="238"/>
      <c r="EP43" s="238"/>
      <c r="EQ43" s="238"/>
      <c r="ER43" s="238"/>
      <c r="ES43" s="238"/>
      <c r="ET43" s="238"/>
      <c r="EU43" s="238"/>
      <c r="EV43" s="238"/>
      <c r="EW43" s="238"/>
      <c r="EX43" s="238"/>
      <c r="EY43" s="238"/>
      <c r="EZ43" s="238"/>
      <c r="FA43" s="238"/>
      <c r="FB43" s="238"/>
      <c r="FC43" s="238"/>
      <c r="FD43" s="238"/>
      <c r="FE43" s="238"/>
      <c r="FF43" s="238"/>
      <c r="FG43" s="238"/>
      <c r="FH43" s="238"/>
      <c r="FI43" s="238"/>
      <c r="FJ43" s="238"/>
      <c r="FK43" s="238"/>
      <c r="FL43" s="238"/>
      <c r="FM43" s="238"/>
      <c r="FN43" s="238"/>
      <c r="FO43" s="238"/>
      <c r="FP43" s="238"/>
      <c r="FQ43" s="238"/>
      <c r="FR43" s="238"/>
      <c r="FS43" s="238"/>
    </row>
    <row r="44" spans="3:175" x14ac:dyDescent="0.25">
      <c r="C44" s="213"/>
      <c r="D44" s="213"/>
      <c r="E44" s="213" t="s">
        <v>90</v>
      </c>
      <c r="Q44" s="213" t="s">
        <v>90</v>
      </c>
      <c r="R44" s="239"/>
      <c r="S44" s="239"/>
      <c r="T44" s="239"/>
      <c r="U44" s="239"/>
      <c r="V44" s="239"/>
      <c r="W44" s="239"/>
      <c r="X44" s="239"/>
      <c r="Y44" s="239"/>
      <c r="Z44" s="239"/>
      <c r="AA44" s="239"/>
      <c r="AB44" s="239"/>
      <c r="AC44" s="213" t="s">
        <v>90</v>
      </c>
      <c r="AD44" s="239"/>
      <c r="AE44" s="239"/>
      <c r="AF44" s="239"/>
      <c r="AG44" s="239"/>
      <c r="AH44" s="239"/>
      <c r="AI44" s="239"/>
      <c r="AK44" s="239"/>
      <c r="AL44" s="239"/>
      <c r="AM44" s="239"/>
      <c r="AN44" s="239"/>
      <c r="AO44" s="213" t="s">
        <v>90</v>
      </c>
      <c r="AP44" s="239"/>
      <c r="AQ44" s="239"/>
      <c r="AR44" s="239"/>
      <c r="AS44" s="239"/>
      <c r="AT44" s="239"/>
      <c r="AU44" s="239"/>
      <c r="AV44" s="239"/>
      <c r="AW44" s="239"/>
      <c r="AX44" s="239"/>
      <c r="AY44" s="239"/>
      <c r="AZ44" s="239"/>
      <c r="BA44" s="213" t="s">
        <v>90</v>
      </c>
      <c r="BB44" s="238"/>
      <c r="BC44" s="238"/>
      <c r="BD44" s="238"/>
      <c r="BE44" s="238"/>
      <c r="BF44" s="238"/>
      <c r="BG44" s="238"/>
      <c r="BH44" s="238"/>
      <c r="BI44" s="238"/>
      <c r="BJ44" s="238"/>
      <c r="BK44" s="238"/>
      <c r="BL44" s="238"/>
      <c r="BM44" s="213" t="s">
        <v>90</v>
      </c>
      <c r="BN44" s="238"/>
      <c r="BO44" s="238"/>
      <c r="BP44" s="238"/>
      <c r="BQ44" s="238"/>
      <c r="BR44" s="238"/>
      <c r="BS44" s="238"/>
      <c r="BT44" s="238"/>
      <c r="BU44" s="238"/>
      <c r="BV44" s="238"/>
      <c r="BW44" s="238"/>
      <c r="BX44" s="238"/>
      <c r="BY44" s="238"/>
      <c r="BZ44" s="238"/>
      <c r="CA44" s="238"/>
      <c r="CB44" s="238"/>
      <c r="CC44" s="238"/>
      <c r="CD44" s="238"/>
      <c r="CE44" s="238"/>
      <c r="CF44" s="238"/>
      <c r="CG44" s="238"/>
      <c r="CH44" s="238"/>
      <c r="CI44" s="238"/>
      <c r="CJ44" s="238"/>
      <c r="CK44" s="238"/>
      <c r="CL44" s="238"/>
      <c r="CM44" s="238"/>
      <c r="CN44" s="238"/>
      <c r="CO44" s="238"/>
      <c r="CP44" s="238"/>
      <c r="CQ44" s="238"/>
      <c r="CR44" s="238"/>
      <c r="CS44" s="238"/>
      <c r="CT44" s="238"/>
      <c r="CU44" s="238"/>
      <c r="CV44" s="238"/>
      <c r="CW44" s="238"/>
      <c r="CX44" s="238"/>
      <c r="CY44" s="238"/>
      <c r="CZ44" s="238"/>
      <c r="DA44" s="238"/>
      <c r="DB44" s="238"/>
      <c r="DC44" s="238"/>
      <c r="DD44" s="238"/>
      <c r="DE44" s="238"/>
      <c r="DF44" s="238"/>
      <c r="DG44" s="238"/>
      <c r="DH44" s="238"/>
      <c r="DI44" s="238"/>
      <c r="DJ44" s="238"/>
      <c r="DK44" s="238"/>
      <c r="DL44" s="238"/>
      <c r="DM44" s="238"/>
      <c r="DN44" s="238"/>
      <c r="DO44" s="238"/>
      <c r="DP44" s="238"/>
      <c r="DQ44" s="238"/>
      <c r="DR44" s="238"/>
      <c r="DS44" s="238"/>
      <c r="DT44" s="238"/>
      <c r="DU44" s="238"/>
      <c r="DV44" s="238"/>
      <c r="DW44" s="238"/>
      <c r="DX44" s="238"/>
      <c r="DY44" s="238"/>
      <c r="DZ44" s="238"/>
      <c r="EA44" s="238"/>
      <c r="EB44" s="238"/>
      <c r="EC44" s="238"/>
      <c r="ED44" s="238"/>
      <c r="EE44" s="238"/>
      <c r="EF44" s="238"/>
      <c r="EG44" s="238"/>
      <c r="EH44" s="238"/>
      <c r="EI44" s="238"/>
      <c r="EJ44" s="238"/>
      <c r="EK44" s="238"/>
      <c r="EL44" s="238"/>
      <c r="EM44" s="238"/>
      <c r="EN44" s="238"/>
      <c r="EO44" s="238"/>
      <c r="EP44" s="238"/>
      <c r="EQ44" s="238"/>
      <c r="ER44" s="238"/>
      <c r="ES44" s="238"/>
      <c r="ET44" s="238"/>
      <c r="EU44" s="238"/>
      <c r="EV44" s="238"/>
      <c r="EW44" s="238"/>
      <c r="EX44" s="238"/>
      <c r="EY44" s="238"/>
      <c r="EZ44" s="238"/>
      <c r="FA44" s="238"/>
      <c r="FB44" s="238"/>
      <c r="FC44" s="238"/>
      <c r="FD44" s="238"/>
      <c r="FE44" s="238"/>
      <c r="FF44" s="238"/>
      <c r="FG44" s="238"/>
      <c r="FH44" s="238"/>
      <c r="FI44" s="238"/>
      <c r="FJ44" s="238"/>
      <c r="FK44" s="238"/>
      <c r="FL44" s="238"/>
      <c r="FM44" s="238"/>
      <c r="FN44" s="238"/>
      <c r="FO44" s="238"/>
      <c r="FP44" s="238"/>
      <c r="FQ44" s="238"/>
      <c r="FR44" s="238"/>
      <c r="FS44" s="238"/>
    </row>
    <row r="45" spans="3:175" x14ac:dyDescent="0.25">
      <c r="C45" s="213"/>
      <c r="D45" s="213"/>
      <c r="E45" t="s">
        <v>137</v>
      </c>
      <c r="Q45" t="s">
        <v>137</v>
      </c>
      <c r="AC45" t="s">
        <v>137</v>
      </c>
      <c r="AO45" t="s">
        <v>137</v>
      </c>
      <c r="BA45" t="s">
        <v>137</v>
      </c>
      <c r="BB45" s="212"/>
      <c r="BC45" s="212"/>
      <c r="BD45" s="212"/>
      <c r="BE45" s="212"/>
      <c r="BF45" s="212"/>
      <c r="BG45" s="212"/>
      <c r="BH45" s="212"/>
      <c r="BI45" s="212"/>
      <c r="BJ45" s="212"/>
      <c r="BK45" s="212"/>
      <c r="BL45" s="212"/>
      <c r="BM45" t="s">
        <v>137</v>
      </c>
      <c r="BN45" s="212"/>
      <c r="BO45" s="212"/>
      <c r="BP45" s="212"/>
      <c r="BQ45" s="212"/>
      <c r="BR45" s="212"/>
      <c r="BS45" s="212"/>
      <c r="BT45" s="212"/>
      <c r="BU45" s="212"/>
      <c r="BV45" s="212"/>
      <c r="BW45" s="212"/>
      <c r="BX45" s="212"/>
      <c r="BY45" s="212"/>
      <c r="BZ45" s="212"/>
      <c r="CA45" s="212"/>
      <c r="CB45" s="212"/>
      <c r="CC45" s="212"/>
      <c r="CD45" s="212"/>
      <c r="CE45" s="212"/>
      <c r="CF45" s="212"/>
      <c r="CG45" s="212"/>
      <c r="CH45" s="212"/>
      <c r="CI45" s="212"/>
      <c r="CJ45" s="212"/>
      <c r="CK45" s="212"/>
      <c r="CL45" s="212"/>
      <c r="CM45" s="212"/>
      <c r="CN45" s="212"/>
      <c r="CO45" s="212"/>
      <c r="CP45" s="212"/>
      <c r="CQ45" s="212"/>
      <c r="CR45" s="212"/>
      <c r="CS45" s="212"/>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2"/>
      <c r="DV45" s="212"/>
      <c r="DW45" s="212"/>
      <c r="DX45" s="212"/>
      <c r="DY45" s="212"/>
      <c r="DZ45" s="212"/>
      <c r="EA45" s="212"/>
      <c r="EB45" s="212"/>
      <c r="EC45" s="212"/>
      <c r="ED45" s="212"/>
      <c r="EE45" s="212"/>
      <c r="EF45" s="212"/>
      <c r="EG45" s="212"/>
      <c r="EH45" s="212"/>
      <c r="EI45" s="212"/>
      <c r="EJ45" s="212"/>
      <c r="EK45" s="212"/>
      <c r="EL45" s="212"/>
      <c r="EM45" s="212"/>
      <c r="EN45" s="212"/>
      <c r="EO45" s="212"/>
      <c r="EP45" s="212"/>
      <c r="EQ45" s="212"/>
      <c r="ER45" s="212"/>
      <c r="ES45" s="212"/>
      <c r="ET45" s="212"/>
      <c r="EU45" s="212"/>
      <c r="EV45" s="212"/>
      <c r="EW45" s="212"/>
      <c r="EX45" s="212"/>
      <c r="EY45" s="212"/>
      <c r="EZ45" s="212"/>
      <c r="FA45" s="212"/>
      <c r="FB45" s="212"/>
      <c r="FC45" s="212"/>
      <c r="FD45" s="212"/>
      <c r="FE45" s="212"/>
      <c r="FF45" s="212"/>
      <c r="FG45" s="212"/>
      <c r="FH45" s="212"/>
      <c r="FI45" s="212"/>
      <c r="FJ45" s="212"/>
      <c r="FK45" s="212"/>
      <c r="FL45" s="212"/>
      <c r="FM45" s="212"/>
      <c r="FN45" s="212"/>
      <c r="FO45" s="212"/>
      <c r="FP45" s="212"/>
      <c r="FQ45" s="212"/>
      <c r="FR45" s="212"/>
      <c r="FS45" s="212"/>
    </row>
    <row r="46" spans="3:175" x14ac:dyDescent="0.25">
      <c r="E46" s="212" t="s">
        <v>138</v>
      </c>
      <c r="Q46" s="212" t="s">
        <v>138</v>
      </c>
      <c r="AC46" s="212" t="s">
        <v>138</v>
      </c>
      <c r="AO46" s="212" t="s">
        <v>138</v>
      </c>
      <c r="BA46" s="212" t="s">
        <v>138</v>
      </c>
      <c r="BM46" s="212" t="s">
        <v>138</v>
      </c>
    </row>
    <row r="47" spans="3:175" x14ac:dyDescent="0.25">
      <c r="E47" s="210" t="s">
        <v>148</v>
      </c>
      <c r="Q47" s="210" t="s">
        <v>148</v>
      </c>
      <c r="AC47" s="210" t="s">
        <v>148</v>
      </c>
      <c r="AO47" s="210" t="s">
        <v>148</v>
      </c>
      <c r="BA47" s="210" t="s">
        <v>148</v>
      </c>
      <c r="BM47" s="210" t="s">
        <v>148</v>
      </c>
    </row>
    <row r="48" spans="3:175" x14ac:dyDescent="0.25">
      <c r="E48" s="210" t="s">
        <v>139</v>
      </c>
      <c r="Q48" s="210" t="s">
        <v>139</v>
      </c>
      <c r="AC48" s="210" t="s">
        <v>139</v>
      </c>
      <c r="AO48" s="210" t="s">
        <v>139</v>
      </c>
      <c r="BA48" s="210" t="s">
        <v>139</v>
      </c>
      <c r="BM48" s="210" t="s">
        <v>139</v>
      </c>
    </row>
    <row r="49" spans="5:65" x14ac:dyDescent="0.25">
      <c r="E49" s="210" t="s">
        <v>140</v>
      </c>
      <c r="Q49" s="210" t="s">
        <v>140</v>
      </c>
      <c r="AC49" s="210" t="s">
        <v>140</v>
      </c>
      <c r="AO49" s="210" t="s">
        <v>140</v>
      </c>
      <c r="BA49" s="210" t="s">
        <v>140</v>
      </c>
      <c r="BM49" s="210" t="s">
        <v>140</v>
      </c>
    </row>
    <row r="50" spans="5:65" x14ac:dyDescent="0.25">
      <c r="E50" s="210" t="s">
        <v>141</v>
      </c>
      <c r="Q50" s="210" t="s">
        <v>141</v>
      </c>
      <c r="AC50" s="210" t="s">
        <v>141</v>
      </c>
      <c r="AO50" s="210" t="s">
        <v>141</v>
      </c>
      <c r="BA50" s="210" t="s">
        <v>141</v>
      </c>
      <c r="BM50" s="210" t="s">
        <v>141</v>
      </c>
    </row>
    <row r="51" spans="5:65" x14ac:dyDescent="0.25">
      <c r="E51" s="210" t="s">
        <v>142</v>
      </c>
      <c r="Q51" s="210" t="s">
        <v>142</v>
      </c>
      <c r="AC51" s="210" t="s">
        <v>142</v>
      </c>
      <c r="AO51" s="210" t="s">
        <v>142</v>
      </c>
      <c r="BA51" s="210" t="s">
        <v>142</v>
      </c>
      <c r="BM51" s="210" t="s">
        <v>142</v>
      </c>
    </row>
  </sheetData>
  <mergeCells count="171">
    <mergeCell ref="FQ6:FQ7"/>
    <mergeCell ref="FR6:FR7"/>
    <mergeCell ref="FS6:FS7"/>
    <mergeCell ref="FK6:FK7"/>
    <mergeCell ref="FL6:FL7"/>
    <mergeCell ref="FM6:FM7"/>
    <mergeCell ref="FN6:FN7"/>
    <mergeCell ref="FO6:FO7"/>
    <mergeCell ref="FP6:FP7"/>
    <mergeCell ref="FE6:FE7"/>
    <mergeCell ref="FF6:FF7"/>
    <mergeCell ref="FG6:FG7"/>
    <mergeCell ref="FH6:FH7"/>
    <mergeCell ref="FI6:FI7"/>
    <mergeCell ref="FJ6:FJ7"/>
    <mergeCell ref="EY6:EY7"/>
    <mergeCell ref="EZ6:EZ7"/>
    <mergeCell ref="FA6:FA7"/>
    <mergeCell ref="FB6:FB7"/>
    <mergeCell ref="FC6:FC7"/>
    <mergeCell ref="FD6:FD7"/>
    <mergeCell ref="ES6:ES7"/>
    <mergeCell ref="ET6:ET7"/>
    <mergeCell ref="EU6:EU7"/>
    <mergeCell ref="EV6:EV7"/>
    <mergeCell ref="EW6:EW7"/>
    <mergeCell ref="EX6:EX7"/>
    <mergeCell ref="EM6:EM7"/>
    <mergeCell ref="EN6:EN7"/>
    <mergeCell ref="EO6:EO7"/>
    <mergeCell ref="EP6:EP7"/>
    <mergeCell ref="EQ6:EQ7"/>
    <mergeCell ref="ER6:ER7"/>
    <mergeCell ref="EG6:EG7"/>
    <mergeCell ref="EH6:EH7"/>
    <mergeCell ref="EI6:EI7"/>
    <mergeCell ref="EJ6:EJ7"/>
    <mergeCell ref="EK6:EK7"/>
    <mergeCell ref="EL6:EL7"/>
    <mergeCell ref="EA6:EA7"/>
    <mergeCell ref="EB6:EB7"/>
    <mergeCell ref="EC6:EC7"/>
    <mergeCell ref="ED6:ED7"/>
    <mergeCell ref="EE6:EE7"/>
    <mergeCell ref="EF6:EF7"/>
    <mergeCell ref="DU6:DU7"/>
    <mergeCell ref="DV6:DV7"/>
    <mergeCell ref="DW6:DW7"/>
    <mergeCell ref="DX6:DX7"/>
    <mergeCell ref="DY6:DY7"/>
    <mergeCell ref="DZ6:DZ7"/>
    <mergeCell ref="DO6:DO7"/>
    <mergeCell ref="DP6:DP7"/>
    <mergeCell ref="DQ6:DQ7"/>
    <mergeCell ref="DR6:DR7"/>
    <mergeCell ref="DS6:DS7"/>
    <mergeCell ref="DT6:DT7"/>
    <mergeCell ref="DI6:DI7"/>
    <mergeCell ref="DJ6:DJ7"/>
    <mergeCell ref="DK6:DK7"/>
    <mergeCell ref="DL6:DL7"/>
    <mergeCell ref="DM6:DM7"/>
    <mergeCell ref="DN6:DN7"/>
    <mergeCell ref="DC6:DC7"/>
    <mergeCell ref="DD6:DD7"/>
    <mergeCell ref="DE6:DE7"/>
    <mergeCell ref="DF6:DF7"/>
    <mergeCell ref="DG6:DG7"/>
    <mergeCell ref="DH6:DH7"/>
    <mergeCell ref="CW6:CW7"/>
    <mergeCell ref="CX6:CX7"/>
    <mergeCell ref="CY6:CY7"/>
    <mergeCell ref="CZ6:CZ7"/>
    <mergeCell ref="DA6:DA7"/>
    <mergeCell ref="DB6:DB7"/>
    <mergeCell ref="CQ6:CQ7"/>
    <mergeCell ref="CR6:CR7"/>
    <mergeCell ref="CS6:CS7"/>
    <mergeCell ref="CT6:CT7"/>
    <mergeCell ref="CU6:CU7"/>
    <mergeCell ref="CV6:CV7"/>
    <mergeCell ref="CK6:CK7"/>
    <mergeCell ref="CL6:CL7"/>
    <mergeCell ref="CM6:CM7"/>
    <mergeCell ref="CN6:CN7"/>
    <mergeCell ref="CO6:CO7"/>
    <mergeCell ref="CP6:CP7"/>
    <mergeCell ref="CE6:CE7"/>
    <mergeCell ref="CF6:CF7"/>
    <mergeCell ref="CG6:CG7"/>
    <mergeCell ref="CH6:CH7"/>
    <mergeCell ref="CI6:CI7"/>
    <mergeCell ref="CJ6:CJ7"/>
    <mergeCell ref="BY6:BY7"/>
    <mergeCell ref="BZ6:BZ7"/>
    <mergeCell ref="CA6:CA7"/>
    <mergeCell ref="CB6:CB7"/>
    <mergeCell ref="CC6:CC7"/>
    <mergeCell ref="CD6:CD7"/>
    <mergeCell ref="BS6:BS7"/>
    <mergeCell ref="BT6:BT7"/>
    <mergeCell ref="BU6:BU7"/>
    <mergeCell ref="BV6:BV7"/>
    <mergeCell ref="BW6:BW7"/>
    <mergeCell ref="BX6:BX7"/>
    <mergeCell ref="BM6:BM7"/>
    <mergeCell ref="BN6:BN7"/>
    <mergeCell ref="BO6:BO7"/>
    <mergeCell ref="BP6:BP7"/>
    <mergeCell ref="BQ6:BQ7"/>
    <mergeCell ref="BR6:BR7"/>
    <mergeCell ref="BG6:BG7"/>
    <mergeCell ref="BH6:BH7"/>
    <mergeCell ref="BI6:BI7"/>
    <mergeCell ref="BJ6:BJ7"/>
    <mergeCell ref="BK6:BK7"/>
    <mergeCell ref="BL6:BL7"/>
    <mergeCell ref="BA6:BA7"/>
    <mergeCell ref="BB6:BB7"/>
    <mergeCell ref="BC6:BC7"/>
    <mergeCell ref="BD6:BD7"/>
    <mergeCell ref="BE6:BE7"/>
    <mergeCell ref="BF6:BF7"/>
    <mergeCell ref="AU6:AU7"/>
    <mergeCell ref="AV6:AV7"/>
    <mergeCell ref="AW6:AW7"/>
    <mergeCell ref="AX6:AX7"/>
    <mergeCell ref="AY6:AY7"/>
    <mergeCell ref="AZ6:AZ7"/>
    <mergeCell ref="AO6:AO7"/>
    <mergeCell ref="AP6:AP7"/>
    <mergeCell ref="AQ6:AQ7"/>
    <mergeCell ref="AR6:AR7"/>
    <mergeCell ref="AS6:AS7"/>
    <mergeCell ref="AT6:AT7"/>
    <mergeCell ref="AI6:AI7"/>
    <mergeCell ref="AJ6:AJ7"/>
    <mergeCell ref="AK6:AK7"/>
    <mergeCell ref="AL6:AL7"/>
    <mergeCell ref="AM6:AM7"/>
    <mergeCell ref="AN6:AN7"/>
    <mergeCell ref="AC6:AC7"/>
    <mergeCell ref="AD6:AD7"/>
    <mergeCell ref="AE6:AE7"/>
    <mergeCell ref="AF6:AF7"/>
    <mergeCell ref="AG6:AG7"/>
    <mergeCell ref="AH6:AH7"/>
    <mergeCell ref="W6:W7"/>
    <mergeCell ref="X6:X7"/>
    <mergeCell ref="Y6:Y7"/>
    <mergeCell ref="Z6:Z7"/>
    <mergeCell ref="AA6:AA7"/>
    <mergeCell ref="AB6:AB7"/>
    <mergeCell ref="T6:T7"/>
    <mergeCell ref="U6:U7"/>
    <mergeCell ref="V6:V7"/>
    <mergeCell ref="K6:K7"/>
    <mergeCell ref="L6:L7"/>
    <mergeCell ref="M6:M7"/>
    <mergeCell ref="N6:N7"/>
    <mergeCell ref="O6:O7"/>
    <mergeCell ref="P6:P7"/>
    <mergeCell ref="E6:E7"/>
    <mergeCell ref="F6:F7"/>
    <mergeCell ref="G6:G7"/>
    <mergeCell ref="H6:H7"/>
    <mergeCell ref="I6:I7"/>
    <mergeCell ref="J6:J7"/>
    <mergeCell ref="Q6:Q7"/>
    <mergeCell ref="R6:R7"/>
    <mergeCell ref="S6:S7"/>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44D030C04F5244BEEFE73AB6F5B41E" ma:contentTypeVersion="13" ma:contentTypeDescription="Create a new document." ma:contentTypeScope="" ma:versionID="eca0a1c0b23449d92027539bec65c455">
  <xsd:schema xmlns:xsd="http://www.w3.org/2001/XMLSchema" xmlns:xs="http://www.w3.org/2001/XMLSchema" xmlns:p="http://schemas.microsoft.com/office/2006/metadata/properties" xmlns:ns2="ea04ccaa-d498-4b06-821e-6f3728ad9268" xmlns:ns3="bab2c41d-119f-4911-b42c-034e6099c021" targetNamespace="http://schemas.microsoft.com/office/2006/metadata/properties" ma:root="true" ma:fieldsID="ccb83f91114bc0cac24bc240a8d7e0d0" ns2:_="" ns3:_="">
    <xsd:import namespace="ea04ccaa-d498-4b06-821e-6f3728ad9268"/>
    <xsd:import namespace="bab2c41d-119f-4911-b42c-034e6099c021"/>
    <xsd:element name="properties">
      <xsd:complexType>
        <xsd:sequence>
          <xsd:element name="documentManagement">
            <xsd:complexType>
              <xsd:all>
                <xsd:element ref="ns2:Frequency" minOccurs="0"/>
                <xsd:element ref="ns2:ReportingPeriodEnd" minOccurs="0"/>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04ccaa-d498-4b06-821e-6f3728ad9268" elementFormDefault="qualified">
    <xsd:import namespace="http://schemas.microsoft.com/office/2006/documentManagement/types"/>
    <xsd:import namespace="http://schemas.microsoft.com/office/infopath/2007/PartnerControls"/>
    <xsd:element name="Frequency" ma:index="2" nillable="true" ma:displayName="Frequency" ma:format="Dropdown" ma:internalName="Frequency" ma:readOnly="false">
      <xsd:simpleType>
        <xsd:restriction base="dms:Choice">
          <xsd:enumeration value="Monthly"/>
          <xsd:enumeration value="Quarterly"/>
          <xsd:enumeration value="Semi-Annual"/>
          <xsd:enumeration value="Annual"/>
          <xsd:enumeration value="Biennial"/>
          <xsd:enumeration value="Ad hoc"/>
          <xsd:enumeration value="Other"/>
        </xsd:restriction>
      </xsd:simpleType>
    </xsd:element>
    <xsd:element name="ReportingPeriodEnd" ma:index="3" nillable="true" ma:displayName="Reporting Period End" ma:format="DateOnly" ma:internalName="ReportingPeriodEnd" ma:readOnly="false">
      <xsd:simpleType>
        <xsd:restriction base="dms:DateTime"/>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ab2c41d-119f-4911-b42c-034e6099c021" elementFormDefault="qualified">
    <xsd:import namespace="http://schemas.microsoft.com/office/2006/documentManagement/types"/>
    <xsd:import namespace="http://schemas.microsoft.com/office/infopath/2007/PartnerControls"/>
    <xsd:element name="SharedWithUsers" ma:index="12"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portingPeriodEnd xmlns="ea04ccaa-d498-4b06-821e-6f3728ad9268">2026-06-30T04:00:00+00:00</ReportingPeriodEnd>
    <Frequency xmlns="ea04ccaa-d498-4b06-821e-6f3728ad9268">Monthly</Frequenc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1D9093-5BDE-4035-84D7-7958B91794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04ccaa-d498-4b06-821e-6f3728ad9268"/>
    <ds:schemaRef ds:uri="bab2c41d-119f-4911-b42c-034e6099c0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4BD0ED-ED18-4BBB-9A20-5E8A0E5B0639}">
  <ds:schemaRefs>
    <ds:schemaRef ds:uri="http://schemas.microsoft.com/office/2006/metadata/properties"/>
    <ds:schemaRef ds:uri="http://schemas.microsoft.com/office/infopath/2007/PartnerControls"/>
    <ds:schemaRef ds:uri="ea04ccaa-d498-4b06-821e-6f3728ad9268"/>
  </ds:schemaRefs>
</ds:datastoreItem>
</file>

<file path=customXml/itemProps3.xml><?xml version="1.0" encoding="utf-8"?>
<ds:datastoreItem xmlns:ds="http://schemas.openxmlformats.org/officeDocument/2006/customXml" ds:itemID="{8FDD8112-A00E-492A-A67C-9C0A3B127D00}">
  <ds:schemaRefs>
    <ds:schemaRef ds:uri="http://schemas.microsoft.com/sharepoint/v3/contenttype/forms"/>
  </ds:schemaRefs>
</ds:datastoreItem>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OW</vt:lpstr>
      <vt:lpstr>Waterloo</vt:lpstr>
      <vt:lpstr>OW!Print_Area</vt:lpstr>
      <vt:lpstr>OW!Print_Titles</vt:lpstr>
    </vt:vector>
  </TitlesOfParts>
  <Company>MGS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Miranda, Karl (MCCSS)</dc:creator>
  <cp:lastModifiedBy>Sophie Yan</cp:lastModifiedBy>
  <cp:lastPrinted>2019-05-10T23:22:03Z</cp:lastPrinted>
  <dcterms:created xsi:type="dcterms:W3CDTF">2015-01-26T14:24:07Z</dcterms:created>
  <dcterms:modified xsi:type="dcterms:W3CDTF">2026-07-27T15:28:07Z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2021-08-18T13:35:31Z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ContentBits">
    <vt:lpwstr>0</vt:lpwstr>
  </property>
  <property fmtid="{D5CDD505-2E9C-101B-9397-08002B2CF9AE}" pid="8" name="ContentTypeId">
    <vt:lpwstr>0x010100E644D030C04F5244BEEFE73AB6F5B41E</vt:lpwstr>
  </property>
</Properties>
</file>